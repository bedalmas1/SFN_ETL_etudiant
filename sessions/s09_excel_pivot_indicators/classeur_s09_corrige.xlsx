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  <sheet name="Seuils" sheetId="2" state="visible" r:id="rId2"/>
    <sheet name="Indicateurs" sheetId="3" state="visible" r:id="rId3"/>
    <sheet name="Note de déci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battery-shelter-01 : température et tension batterie</a:t>
            </a:r>
          </a:p>
        </rich>
      </tx>
    </title>
    <plotArea>
      <lineChart>
        <grouping val="standard"/>
        <ser>
          <idx val="0"/>
          <order val="0"/>
          <tx>
            <strRef>
              <f>'Indicateurs'!B20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'Indicateurs'!$A$21:$A$32</f>
            </numRef>
          </cat>
          <val>
            <numRef>
              <f>'Indicateurs'!$B$21:$B$32</f>
            </numRef>
          </val>
        </ser>
        <axId val="10"/>
        <axId val="100"/>
      </lineChart>
      <lineChart>
        <grouping val="standard"/>
        <ser>
          <idx val="1"/>
          <order val="1"/>
          <tx>
            <strRef>
              <f>'Indicateurs'!C20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'Indicateurs'!$C$21:$C$32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relevé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température (°C)</a:t>
                </a:r>
              </a:p>
            </rich>
          </tx>
        </title>
        <majorTickMark val="none"/>
        <minorTickMark val="none"/>
        <crossAx val="10"/>
        <crosses val="min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tension batterie (V)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Mesures" displayName="Mesures" ref="A1:N145" headerRowCount="1">
  <autoFilter ref="A1:N145"/>
  <tableColumns count="14">
    <tableColumn id="1" name="message_id"/>
    <tableColumn id="2" name="site_id"/>
    <tableColumn id="3" name="zone"/>
    <tableColumn id="4" name="asset_type"/>
    <tableColumn id="5" name="sensor"/>
    <tableColumn id="6" name="measured_at"/>
    <tableColumn id="7" name="value"/>
    <tableColumn id="8" name="unit"/>
    <tableColumn id="9" name="sequence"/>
    <tableColumn id="10" name="topic"/>
    <tableColumn id="11" name="clé"/>
    <tableColumn id="12" name="limite"/>
    <tableColumn id="13" name="direction"/>
    <tableColumn id="14" name="alerte"/>
  </tableColumns>
  <tableStyleInfo name="TableStyleMedium2" showRowStripes="1"/>
</table>
</file>

<file path=xl/tables/table2.xml><?xml version="1.0" encoding="utf-8"?>
<table xmlns="http://schemas.openxmlformats.org/spreadsheetml/2006/main" id="2" name="Seuils" displayName="Seuils" ref="A1:F13" headerRowCount="1">
  <autoFilter ref="A1:F13"/>
  <tableColumns count="6">
    <tableColumn id="1" name="asset_type"/>
    <tableColumn id="2" name="sensor"/>
    <tableColumn id="3" name="direction"/>
    <tableColumn id="4" name="limite"/>
    <tableColumn id="5" name="note"/>
    <tableColumn id="6" name="clé"/>
  </tableColumns>
  <tableStyleInfo name="TableStyleMedium3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message_id</t>
        </is>
      </c>
      <c r="B1" s="1" t="inlineStr">
        <is>
          <t>site_id</t>
        </is>
      </c>
      <c r="C1" s="1" t="inlineStr">
        <is>
          <t>zone</t>
        </is>
      </c>
      <c r="D1" s="1" t="inlineStr">
        <is>
          <t>asset_type</t>
        </is>
      </c>
      <c r="E1" s="1" t="inlineStr">
        <is>
          <t>sensor</t>
        </is>
      </c>
      <c r="F1" s="1" t="inlineStr">
        <is>
          <t>measured_at</t>
        </is>
      </c>
      <c r="G1" s="1" t="inlineStr">
        <is>
          <t>value</t>
        </is>
      </c>
      <c r="H1" s="1" t="inlineStr">
        <is>
          <t>unit</t>
        </is>
      </c>
      <c r="I1" s="1" t="inlineStr">
        <is>
          <t>sequence</t>
        </is>
      </c>
      <c r="J1" s="1" t="inlineStr">
        <is>
          <t>topic</t>
        </is>
      </c>
      <c r="K1" s="1" t="inlineStr">
        <is>
          <t>clé</t>
        </is>
      </c>
      <c r="L1" s="1" t="inlineStr">
        <is>
          <t>limite</t>
        </is>
      </c>
      <c r="M1" s="1" t="inlineStr">
        <is>
          <t>direction</t>
        </is>
      </c>
      <c r="N1" s="1" t="inlineStr">
        <is>
          <t>alerte</t>
        </is>
      </c>
    </row>
    <row r="2">
      <c r="A2" t="inlineStr">
        <is>
          <t>battery-shelter-01-battery_voltage-0000</t>
        </is>
      </c>
      <c r="B2" t="inlineStr">
        <is>
          <t>base-projetee-alpha</t>
        </is>
      </c>
      <c r="C2" t="inlineStr">
        <is>
          <t>battery-shelter-01</t>
        </is>
      </c>
      <c r="D2" t="inlineStr">
        <is>
          <t>drone_battery_storage</t>
        </is>
      </c>
      <c r="E2" t="inlineStr">
        <is>
          <t>battery_voltage</t>
        </is>
      </c>
      <c r="F2" s="2" t="n">
        <v>46335.25</v>
      </c>
      <c r="G2" t="n">
        <v>12.6</v>
      </c>
      <c r="H2" t="inlineStr">
        <is>
          <t>volt</t>
        </is>
      </c>
      <c r="I2" t="n">
        <v>0</v>
      </c>
      <c r="J2" t="inlineStr">
        <is>
          <t>airbase/batch005/battery-shelter-01/battery_voltage/0000</t>
        </is>
      </c>
      <c r="K2">
        <f>[@asset_type]&amp;"|"&amp;[@sensor]</f>
        <v/>
      </c>
      <c r="L2">
        <f>XLOOKUP([@clé],Seuils[clé],Seuils[limite])</f>
        <v/>
      </c>
      <c r="M2">
        <f>XLOOKUP([@clé],Seuils[clé],Seuils[direction])</f>
        <v/>
      </c>
      <c r="N2">
        <f>IF([@direction]="&lt;=",[@value]&lt;=[@limite],[@value]&gt;=[@limite])</f>
        <v/>
      </c>
    </row>
    <row r="3">
      <c r="A3" t="inlineStr">
        <is>
          <t>battery-shelter-01-battery_voltage-0001</t>
        </is>
      </c>
      <c r="B3" t="inlineStr">
        <is>
          <t>base-projetee-alpha</t>
        </is>
      </c>
      <c r="C3" t="inlineStr">
        <is>
          <t>battery-shelter-01</t>
        </is>
      </c>
      <c r="D3" t="inlineStr">
        <is>
          <t>drone_battery_storage</t>
        </is>
      </c>
      <c r="E3" t="inlineStr">
        <is>
          <t>battery_voltage</t>
        </is>
      </c>
      <c r="F3" s="2" t="n">
        <v>46335.5</v>
      </c>
      <c r="G3" t="n">
        <v>12.5</v>
      </c>
      <c r="H3" t="inlineStr">
        <is>
          <t>volt</t>
        </is>
      </c>
      <c r="I3" t="n">
        <v>1</v>
      </c>
      <c r="J3" t="inlineStr">
        <is>
          <t>airbase/batch005/battery-shelter-01/battery_voltage/0001</t>
        </is>
      </c>
      <c r="K3">
        <f>[@asset_type]&amp;"|"&amp;[@sensor]</f>
        <v/>
      </c>
      <c r="L3">
        <f>XLOOKUP([@clé],Seuils[clé],Seuils[limite])</f>
        <v/>
      </c>
      <c r="M3">
        <f>XLOOKUP([@clé],Seuils[clé],Seuils[direction])</f>
        <v/>
      </c>
      <c r="N3">
        <f>IF([@direction]="&lt;=",[@value]&lt;=[@limite],[@value]&gt;=[@limite])</f>
        <v/>
      </c>
    </row>
    <row r="4">
      <c r="A4" t="inlineStr">
        <is>
          <t>battery-shelter-01-battery_voltage-0002</t>
        </is>
      </c>
      <c r="B4" t="inlineStr">
        <is>
          <t>base-projetee-alpha</t>
        </is>
      </c>
      <c r="C4" t="inlineStr">
        <is>
          <t>battery-shelter-01</t>
        </is>
      </c>
      <c r="D4" t="inlineStr">
        <is>
          <t>drone_battery_storage</t>
        </is>
      </c>
      <c r="E4" t="inlineStr">
        <is>
          <t>battery_voltage</t>
        </is>
      </c>
      <c r="F4" s="2" t="n">
        <v>46335.75</v>
      </c>
      <c r="G4" t="n">
        <v>12.4</v>
      </c>
      <c r="H4" t="inlineStr">
        <is>
          <t>volt</t>
        </is>
      </c>
      <c r="I4" t="n">
        <v>2</v>
      </c>
      <c r="J4" t="inlineStr">
        <is>
          <t>airbase/batch005/battery-shelter-01/battery_voltage/0002</t>
        </is>
      </c>
      <c r="K4">
        <f>[@asset_type]&amp;"|"&amp;[@sensor]</f>
        <v/>
      </c>
      <c r="L4">
        <f>XLOOKUP([@clé],Seuils[clé],Seuils[limite])</f>
        <v/>
      </c>
      <c r="M4">
        <f>XLOOKUP([@clé],Seuils[clé],Seuils[direction])</f>
        <v/>
      </c>
      <c r="N4">
        <f>IF([@direction]="&lt;=",[@value]&lt;=[@limite],[@value]&gt;=[@limite])</f>
        <v/>
      </c>
    </row>
    <row r="5">
      <c r="A5" t="inlineStr">
        <is>
          <t>battery-shelter-01-battery_voltage-0003</t>
        </is>
      </c>
      <c r="B5" t="inlineStr">
        <is>
          <t>base-projetee-alpha</t>
        </is>
      </c>
      <c r="C5" t="inlineStr">
        <is>
          <t>battery-shelter-01</t>
        </is>
      </c>
      <c r="D5" t="inlineStr">
        <is>
          <t>drone_battery_storage</t>
        </is>
      </c>
      <c r="E5" t="inlineStr">
        <is>
          <t>battery_voltage</t>
        </is>
      </c>
      <c r="F5" s="2" t="n">
        <v>46335.95833333334</v>
      </c>
      <c r="G5" t="n">
        <v>12.4</v>
      </c>
      <c r="H5" t="inlineStr">
        <is>
          <t>volt</t>
        </is>
      </c>
      <c r="I5" t="n">
        <v>3</v>
      </c>
      <c r="J5" t="inlineStr">
        <is>
          <t>airbase/batch005/battery-shelter-01/battery_voltage/0003</t>
        </is>
      </c>
      <c r="K5">
        <f>[@asset_type]&amp;"|"&amp;[@sensor]</f>
        <v/>
      </c>
      <c r="L5">
        <f>XLOOKUP([@clé],Seuils[clé],Seuils[limite])</f>
        <v/>
      </c>
      <c r="M5">
        <f>XLOOKUP([@clé],Seuils[clé],Seuils[direction])</f>
        <v/>
      </c>
      <c r="N5">
        <f>IF([@direction]="&lt;=",[@value]&lt;=[@limite],[@value]&gt;=[@limite])</f>
        <v/>
      </c>
    </row>
    <row r="6">
      <c r="A6" t="inlineStr">
        <is>
          <t>battery-shelter-01-battery_voltage-0004</t>
        </is>
      </c>
      <c r="B6" t="inlineStr">
        <is>
          <t>base-projetee-alpha</t>
        </is>
      </c>
      <c r="C6" t="inlineStr">
        <is>
          <t>battery-shelter-01</t>
        </is>
      </c>
      <c r="D6" t="inlineStr">
        <is>
          <t>drone_battery_storage</t>
        </is>
      </c>
      <c r="E6" t="inlineStr">
        <is>
          <t>battery_voltage</t>
        </is>
      </c>
      <c r="F6" s="2" t="n">
        <v>46336.25</v>
      </c>
      <c r="G6" t="n">
        <v>12.3</v>
      </c>
      <c r="H6" t="inlineStr">
        <is>
          <t>volt</t>
        </is>
      </c>
      <c r="I6" t="n">
        <v>4</v>
      </c>
      <c r="J6" t="inlineStr">
        <is>
          <t>airbase/batch005/battery-shelter-01/battery_voltage/0004</t>
        </is>
      </c>
      <c r="K6">
        <f>[@asset_type]&amp;"|"&amp;[@sensor]</f>
        <v/>
      </c>
      <c r="L6">
        <f>XLOOKUP([@clé],Seuils[clé],Seuils[limite])</f>
        <v/>
      </c>
      <c r="M6">
        <f>XLOOKUP([@clé],Seuils[clé],Seuils[direction])</f>
        <v/>
      </c>
      <c r="N6">
        <f>IF([@direction]="&lt;=",[@value]&lt;=[@limite],[@value]&gt;=[@limite])</f>
        <v/>
      </c>
    </row>
    <row r="7">
      <c r="A7" t="inlineStr">
        <is>
          <t>battery-shelter-01-battery_voltage-0005</t>
        </is>
      </c>
      <c r="B7" t="inlineStr">
        <is>
          <t>base-projetee-alpha</t>
        </is>
      </c>
      <c r="C7" t="inlineStr">
        <is>
          <t>battery-shelter-01</t>
        </is>
      </c>
      <c r="D7" t="inlineStr">
        <is>
          <t>drone_battery_storage</t>
        </is>
      </c>
      <c r="E7" t="inlineStr">
        <is>
          <t>battery_voltage</t>
        </is>
      </c>
      <c r="F7" s="2" t="n">
        <v>46336.5</v>
      </c>
      <c r="G7" t="n">
        <v>12.2</v>
      </c>
      <c r="H7" t="inlineStr">
        <is>
          <t>volt</t>
        </is>
      </c>
      <c r="I7" t="n">
        <v>5</v>
      </c>
      <c r="J7" t="inlineStr">
        <is>
          <t>airbase/batch005/battery-shelter-01/battery_voltage/0005</t>
        </is>
      </c>
      <c r="K7">
        <f>[@asset_type]&amp;"|"&amp;[@sensor]</f>
        <v/>
      </c>
      <c r="L7">
        <f>XLOOKUP([@clé],Seuils[clé],Seuils[limite])</f>
        <v/>
      </c>
      <c r="M7">
        <f>XLOOKUP([@clé],Seuils[clé],Seuils[direction])</f>
        <v/>
      </c>
      <c r="N7">
        <f>IF([@direction]="&lt;=",[@value]&lt;=[@limite],[@value]&gt;=[@limite])</f>
        <v/>
      </c>
    </row>
    <row r="8">
      <c r="A8" t="inlineStr">
        <is>
          <t>battery-shelter-01-battery_voltage-0006</t>
        </is>
      </c>
      <c r="B8" t="inlineStr">
        <is>
          <t>base-projetee-alpha</t>
        </is>
      </c>
      <c r="C8" t="inlineStr">
        <is>
          <t>battery-shelter-01</t>
        </is>
      </c>
      <c r="D8" t="inlineStr">
        <is>
          <t>drone_battery_storage</t>
        </is>
      </c>
      <c r="E8" t="inlineStr">
        <is>
          <t>battery_voltage</t>
        </is>
      </c>
      <c r="F8" s="2" t="n">
        <v>46336.75</v>
      </c>
      <c r="G8" t="n">
        <v>12.1</v>
      </c>
      <c r="H8" t="inlineStr">
        <is>
          <t>volt</t>
        </is>
      </c>
      <c r="I8" t="n">
        <v>6</v>
      </c>
      <c r="J8" t="inlineStr">
        <is>
          <t>airbase/batch005/battery-shelter-01/battery_voltage/0006</t>
        </is>
      </c>
      <c r="K8">
        <f>[@asset_type]&amp;"|"&amp;[@sensor]</f>
        <v/>
      </c>
      <c r="L8">
        <f>XLOOKUP([@clé],Seuils[clé],Seuils[limite])</f>
        <v/>
      </c>
      <c r="M8">
        <f>XLOOKUP([@clé],Seuils[clé],Seuils[direction])</f>
        <v/>
      </c>
      <c r="N8">
        <f>IF([@direction]="&lt;=",[@value]&lt;=[@limite],[@value]&gt;=[@limite])</f>
        <v/>
      </c>
    </row>
    <row r="9">
      <c r="A9" t="inlineStr">
        <is>
          <t>battery-shelter-01-battery_voltage-0007</t>
        </is>
      </c>
      <c r="B9" t="inlineStr">
        <is>
          <t>base-projetee-alpha</t>
        </is>
      </c>
      <c r="C9" t="inlineStr">
        <is>
          <t>battery-shelter-01</t>
        </is>
      </c>
      <c r="D9" t="inlineStr">
        <is>
          <t>drone_battery_storage</t>
        </is>
      </c>
      <c r="E9" t="inlineStr">
        <is>
          <t>battery_voltage</t>
        </is>
      </c>
      <c r="F9" s="2" t="n">
        <v>46336.95833333334</v>
      </c>
      <c r="G9" t="n">
        <v>12</v>
      </c>
      <c r="H9" t="inlineStr">
        <is>
          <t>volt</t>
        </is>
      </c>
      <c r="I9" t="n">
        <v>7</v>
      </c>
      <c r="J9" t="inlineStr">
        <is>
          <t>airbase/batch005/battery-shelter-01/battery_voltage/0007</t>
        </is>
      </c>
      <c r="K9">
        <f>[@asset_type]&amp;"|"&amp;[@sensor]</f>
        <v/>
      </c>
      <c r="L9">
        <f>XLOOKUP([@clé],Seuils[clé],Seuils[limite])</f>
        <v/>
      </c>
      <c r="M9">
        <f>XLOOKUP([@clé],Seuils[clé],Seuils[direction])</f>
        <v/>
      </c>
      <c r="N9">
        <f>IF([@direction]="&lt;=",[@value]&lt;=[@limite],[@value]&gt;=[@limite])</f>
        <v/>
      </c>
    </row>
    <row r="10">
      <c r="A10" t="inlineStr">
        <is>
          <t>battery-shelter-01-battery_voltage-0008</t>
        </is>
      </c>
      <c r="B10" t="inlineStr">
        <is>
          <t>base-projetee-alpha</t>
        </is>
      </c>
      <c r="C10" t="inlineStr">
        <is>
          <t>battery-shelter-01</t>
        </is>
      </c>
      <c r="D10" t="inlineStr">
        <is>
          <t>drone_battery_storage</t>
        </is>
      </c>
      <c r="E10" t="inlineStr">
        <is>
          <t>battery_voltage</t>
        </is>
      </c>
      <c r="F10" s="2" t="n">
        <v>46337.25</v>
      </c>
      <c r="G10" t="n">
        <v>11.9</v>
      </c>
      <c r="H10" t="inlineStr">
        <is>
          <t>volt</t>
        </is>
      </c>
      <c r="I10" t="n">
        <v>8</v>
      </c>
      <c r="J10" t="inlineStr">
        <is>
          <t>airbase/batch005/battery-shelter-01/battery_voltage/0008</t>
        </is>
      </c>
      <c r="K10">
        <f>[@asset_type]&amp;"|"&amp;[@sensor]</f>
        <v/>
      </c>
      <c r="L10">
        <f>XLOOKUP([@clé],Seuils[clé],Seuils[limite])</f>
        <v/>
      </c>
      <c r="M10">
        <f>XLOOKUP([@clé],Seuils[clé],Seuils[direction])</f>
        <v/>
      </c>
      <c r="N10">
        <f>IF([@direction]="&lt;=",[@value]&lt;=[@limite],[@value]&gt;=[@limite])</f>
        <v/>
      </c>
    </row>
    <row r="11">
      <c r="A11" t="inlineStr">
        <is>
          <t>battery-shelter-01-battery_voltage-0009</t>
        </is>
      </c>
      <c r="B11" t="inlineStr">
        <is>
          <t>base-projetee-alpha</t>
        </is>
      </c>
      <c r="C11" t="inlineStr">
        <is>
          <t>battery-shelter-01</t>
        </is>
      </c>
      <c r="D11" t="inlineStr">
        <is>
          <t>drone_battery_storage</t>
        </is>
      </c>
      <c r="E11" t="inlineStr">
        <is>
          <t>battery_voltage</t>
        </is>
      </c>
      <c r="F11" s="2" t="n">
        <v>46337.5</v>
      </c>
      <c r="G11" t="n">
        <v>11.7</v>
      </c>
      <c r="H11" t="inlineStr">
        <is>
          <t>volt</t>
        </is>
      </c>
      <c r="I11" t="n">
        <v>9</v>
      </c>
      <c r="J11" t="inlineStr">
        <is>
          <t>airbase/batch005/battery-shelter-01/battery_voltage/0009</t>
        </is>
      </c>
      <c r="K11">
        <f>[@asset_type]&amp;"|"&amp;[@sensor]</f>
        <v/>
      </c>
      <c r="L11">
        <f>XLOOKUP([@clé],Seuils[clé],Seuils[limite])</f>
        <v/>
      </c>
      <c r="M11">
        <f>XLOOKUP([@clé],Seuils[clé],Seuils[direction])</f>
        <v/>
      </c>
      <c r="N11">
        <f>IF([@direction]="&lt;=",[@value]&lt;=[@limite],[@value]&gt;=[@limite])</f>
        <v/>
      </c>
    </row>
    <row r="12">
      <c r="A12" t="inlineStr">
        <is>
          <t>battery-shelter-01-battery_voltage-0010</t>
        </is>
      </c>
      <c r="B12" t="inlineStr">
        <is>
          <t>base-projetee-alpha</t>
        </is>
      </c>
      <c r="C12" t="inlineStr">
        <is>
          <t>battery-shelter-01</t>
        </is>
      </c>
      <c r="D12" t="inlineStr">
        <is>
          <t>drone_battery_storage</t>
        </is>
      </c>
      <c r="E12" t="inlineStr">
        <is>
          <t>battery_voltage</t>
        </is>
      </c>
      <c r="F12" s="2" t="n">
        <v>46337.75</v>
      </c>
      <c r="G12" t="n">
        <v>11.6</v>
      </c>
      <c r="H12" t="inlineStr">
        <is>
          <t>volt</t>
        </is>
      </c>
      <c r="I12" t="n">
        <v>10</v>
      </c>
      <c r="J12" t="inlineStr">
        <is>
          <t>airbase/batch005/battery-shelter-01/battery_voltage/0010</t>
        </is>
      </c>
      <c r="K12">
        <f>[@asset_type]&amp;"|"&amp;[@sensor]</f>
        <v/>
      </c>
      <c r="L12">
        <f>XLOOKUP([@clé],Seuils[clé],Seuils[limite])</f>
        <v/>
      </c>
      <c r="M12">
        <f>XLOOKUP([@clé],Seuils[clé],Seuils[direction])</f>
        <v/>
      </c>
      <c r="N12">
        <f>IF([@direction]="&lt;=",[@value]&lt;=[@limite],[@value]&gt;=[@limite])</f>
        <v/>
      </c>
    </row>
    <row r="13">
      <c r="A13" t="inlineStr">
        <is>
          <t>battery-shelter-01-battery_voltage-0011</t>
        </is>
      </c>
      <c r="B13" t="inlineStr">
        <is>
          <t>base-projetee-alpha</t>
        </is>
      </c>
      <c r="C13" t="inlineStr">
        <is>
          <t>battery-shelter-01</t>
        </is>
      </c>
      <c r="D13" t="inlineStr">
        <is>
          <t>drone_battery_storage</t>
        </is>
      </c>
      <c r="E13" t="inlineStr">
        <is>
          <t>battery_voltage</t>
        </is>
      </c>
      <c r="F13" s="2" t="n">
        <v>46337.95833333334</v>
      </c>
      <c r="G13" t="n">
        <v>11.4</v>
      </c>
      <c r="H13" t="inlineStr">
        <is>
          <t>volt</t>
        </is>
      </c>
      <c r="I13" t="n">
        <v>11</v>
      </c>
      <c r="J13" t="inlineStr">
        <is>
          <t>airbase/batch005/battery-shelter-01/battery_voltage/0011</t>
        </is>
      </c>
      <c r="K13">
        <f>[@asset_type]&amp;"|"&amp;[@sensor]</f>
        <v/>
      </c>
      <c r="L13">
        <f>XLOOKUP([@clé],Seuils[clé],Seuils[limite])</f>
        <v/>
      </c>
      <c r="M13">
        <f>XLOOKUP([@clé],Seuils[clé],Seuils[direction])</f>
        <v/>
      </c>
      <c r="N13">
        <f>IF([@direction]="&lt;=",[@value]&lt;=[@limite],[@value]&gt;=[@limite])</f>
        <v/>
      </c>
    </row>
    <row r="14">
      <c r="A14" t="inlineStr">
        <is>
          <t>battery-shelter-01-temperature-0000</t>
        </is>
      </c>
      <c r="B14" t="inlineStr">
        <is>
          <t>base-projetee-alpha</t>
        </is>
      </c>
      <c r="C14" t="inlineStr">
        <is>
          <t>battery-shelter-01</t>
        </is>
      </c>
      <c r="D14" t="inlineStr">
        <is>
          <t>drone_battery_storage</t>
        </is>
      </c>
      <c r="E14" t="inlineStr">
        <is>
          <t>temperature</t>
        </is>
      </c>
      <c r="F14" s="2" t="n">
        <v>46335.25</v>
      </c>
      <c r="G14" t="n">
        <v>31</v>
      </c>
      <c r="H14" t="inlineStr">
        <is>
          <t>celsius</t>
        </is>
      </c>
      <c r="I14" t="n">
        <v>0</v>
      </c>
      <c r="J14" t="inlineStr">
        <is>
          <t>airbase/batch005/battery-shelter-01/temperature/0000</t>
        </is>
      </c>
      <c r="K14">
        <f>[@asset_type]&amp;"|"&amp;[@sensor]</f>
        <v/>
      </c>
      <c r="L14">
        <f>XLOOKUP([@clé],Seuils[clé],Seuils[limite])</f>
        <v/>
      </c>
      <c r="M14">
        <f>XLOOKUP([@clé],Seuils[clé],Seuils[direction])</f>
        <v/>
      </c>
      <c r="N14">
        <f>IF([@direction]="&lt;=",[@value]&lt;=[@limite],[@value]&gt;=[@limite])</f>
        <v/>
      </c>
    </row>
    <row r="15">
      <c r="A15" t="inlineStr">
        <is>
          <t>battery-shelter-01-temperature-0001</t>
        </is>
      </c>
      <c r="B15" t="inlineStr">
        <is>
          <t>base-projetee-alpha</t>
        </is>
      </c>
      <c r="C15" t="inlineStr">
        <is>
          <t>battery-shelter-01</t>
        </is>
      </c>
      <c r="D15" t="inlineStr">
        <is>
          <t>drone_battery_storage</t>
        </is>
      </c>
      <c r="E15" t="inlineStr">
        <is>
          <t>temperature</t>
        </is>
      </c>
      <c r="F15" s="2" t="n">
        <v>46335.5</v>
      </c>
      <c r="G15" t="n">
        <v>33</v>
      </c>
      <c r="H15" t="inlineStr">
        <is>
          <t>celsius</t>
        </is>
      </c>
      <c r="I15" t="n">
        <v>1</v>
      </c>
      <c r="J15" t="inlineStr">
        <is>
          <t>airbase/batch005/battery-shelter-01/temperature/0001</t>
        </is>
      </c>
      <c r="K15">
        <f>[@asset_type]&amp;"|"&amp;[@sensor]</f>
        <v/>
      </c>
      <c r="L15">
        <f>XLOOKUP([@clé],Seuils[clé],Seuils[limite])</f>
        <v/>
      </c>
      <c r="M15">
        <f>XLOOKUP([@clé],Seuils[clé],Seuils[direction])</f>
        <v/>
      </c>
      <c r="N15">
        <f>IF([@direction]="&lt;=",[@value]&lt;=[@limite],[@value]&gt;=[@limite])</f>
        <v/>
      </c>
    </row>
    <row r="16">
      <c r="A16" t="inlineStr">
        <is>
          <t>battery-shelter-01-temperature-0002</t>
        </is>
      </c>
      <c r="B16" t="inlineStr">
        <is>
          <t>base-projetee-alpha</t>
        </is>
      </c>
      <c r="C16" t="inlineStr">
        <is>
          <t>battery-shelter-01</t>
        </is>
      </c>
      <c r="D16" t="inlineStr">
        <is>
          <t>drone_battery_storage</t>
        </is>
      </c>
      <c r="E16" t="inlineStr">
        <is>
          <t>temperature</t>
        </is>
      </c>
      <c r="F16" s="2" t="n">
        <v>46335.75</v>
      </c>
      <c r="G16" t="n">
        <v>34</v>
      </c>
      <c r="H16" t="inlineStr">
        <is>
          <t>celsius</t>
        </is>
      </c>
      <c r="I16" t="n">
        <v>2</v>
      </c>
      <c r="J16" t="inlineStr">
        <is>
          <t>airbase/batch005/battery-shelter-01/temperature/0002</t>
        </is>
      </c>
      <c r="K16">
        <f>[@asset_type]&amp;"|"&amp;[@sensor]</f>
        <v/>
      </c>
      <c r="L16">
        <f>XLOOKUP([@clé],Seuils[clé],Seuils[limite])</f>
        <v/>
      </c>
      <c r="M16">
        <f>XLOOKUP([@clé],Seuils[clé],Seuils[direction])</f>
        <v/>
      </c>
      <c r="N16">
        <f>IF([@direction]="&lt;=",[@value]&lt;=[@limite],[@value]&gt;=[@limite])</f>
        <v/>
      </c>
    </row>
    <row r="17">
      <c r="A17" t="inlineStr">
        <is>
          <t>battery-shelter-01-temperature-0003</t>
        </is>
      </c>
      <c r="B17" t="inlineStr">
        <is>
          <t>base-projetee-alpha</t>
        </is>
      </c>
      <c r="C17" t="inlineStr">
        <is>
          <t>battery-shelter-01</t>
        </is>
      </c>
      <c r="D17" t="inlineStr">
        <is>
          <t>drone_battery_storage</t>
        </is>
      </c>
      <c r="E17" t="inlineStr">
        <is>
          <t>temperature</t>
        </is>
      </c>
      <c r="F17" s="2" t="n">
        <v>46335.95833333334</v>
      </c>
      <c r="G17" t="n">
        <v>33.2</v>
      </c>
      <c r="H17" t="inlineStr">
        <is>
          <t>celsius</t>
        </is>
      </c>
      <c r="I17" t="n">
        <v>3</v>
      </c>
      <c r="J17" t="inlineStr">
        <is>
          <t>airbase/batch005/battery-shelter-01/temperature/0003</t>
        </is>
      </c>
      <c r="K17">
        <f>[@asset_type]&amp;"|"&amp;[@sensor]</f>
        <v/>
      </c>
      <c r="L17">
        <f>XLOOKUP([@clé],Seuils[clé],Seuils[limite])</f>
        <v/>
      </c>
      <c r="M17">
        <f>XLOOKUP([@clé],Seuils[clé],Seuils[direction])</f>
        <v/>
      </c>
      <c r="N17">
        <f>IF([@direction]="&lt;=",[@value]&lt;=[@limite],[@value]&gt;=[@limite])</f>
        <v/>
      </c>
    </row>
    <row r="18">
      <c r="A18" t="inlineStr">
        <is>
          <t>battery-shelter-01-temperature-0004</t>
        </is>
      </c>
      <c r="B18" t="inlineStr">
        <is>
          <t>base-projetee-alpha</t>
        </is>
      </c>
      <c r="C18" t="inlineStr">
        <is>
          <t>battery-shelter-01</t>
        </is>
      </c>
      <c r="D18" t="inlineStr">
        <is>
          <t>drone_battery_storage</t>
        </is>
      </c>
      <c r="E18" t="inlineStr">
        <is>
          <t>temperature</t>
        </is>
      </c>
      <c r="F18" s="2" t="n">
        <v>46336.25</v>
      </c>
      <c r="G18" t="n">
        <v>32</v>
      </c>
      <c r="H18" t="inlineStr">
        <is>
          <t>celsius</t>
        </is>
      </c>
      <c r="I18" t="n">
        <v>4</v>
      </c>
      <c r="J18" t="inlineStr">
        <is>
          <t>airbase/batch005/battery-shelter-01/temperature/0004</t>
        </is>
      </c>
      <c r="K18">
        <f>[@asset_type]&amp;"|"&amp;[@sensor]</f>
        <v/>
      </c>
      <c r="L18">
        <f>XLOOKUP([@clé],Seuils[clé],Seuils[limite])</f>
        <v/>
      </c>
      <c r="M18">
        <f>XLOOKUP([@clé],Seuils[clé],Seuils[direction])</f>
        <v/>
      </c>
      <c r="N18">
        <f>IF([@direction]="&lt;=",[@value]&lt;=[@limite],[@value]&gt;=[@limite])</f>
        <v/>
      </c>
    </row>
    <row r="19">
      <c r="A19" t="inlineStr">
        <is>
          <t>battery-shelter-01-temperature-0005</t>
        </is>
      </c>
      <c r="B19" t="inlineStr">
        <is>
          <t>base-projetee-alpha</t>
        </is>
      </c>
      <c r="C19" t="inlineStr">
        <is>
          <t>battery-shelter-01</t>
        </is>
      </c>
      <c r="D19" t="inlineStr">
        <is>
          <t>drone_battery_storage</t>
        </is>
      </c>
      <c r="E19" t="inlineStr">
        <is>
          <t>temperature</t>
        </is>
      </c>
      <c r="F19" s="2" t="n">
        <v>46336.5</v>
      </c>
      <c r="G19" t="n">
        <v>34</v>
      </c>
      <c r="H19" t="inlineStr">
        <is>
          <t>celsius</t>
        </is>
      </c>
      <c r="I19" t="n">
        <v>5</v>
      </c>
      <c r="J19" t="inlineStr">
        <is>
          <t>airbase/batch005/battery-shelter-01/temperature/0005</t>
        </is>
      </c>
      <c r="K19">
        <f>[@asset_type]&amp;"|"&amp;[@sensor]</f>
        <v/>
      </c>
      <c r="L19">
        <f>XLOOKUP([@clé],Seuils[clé],Seuils[limite])</f>
        <v/>
      </c>
      <c r="M19">
        <f>XLOOKUP([@clé],Seuils[clé],Seuils[direction])</f>
        <v/>
      </c>
      <c r="N19">
        <f>IF([@direction]="&lt;=",[@value]&lt;=[@limite],[@value]&gt;=[@limite])</f>
        <v/>
      </c>
    </row>
    <row r="20">
      <c r="A20" t="inlineStr">
        <is>
          <t>battery-shelter-01-temperature-0006</t>
        </is>
      </c>
      <c r="B20" t="inlineStr">
        <is>
          <t>base-projetee-alpha</t>
        </is>
      </c>
      <c r="C20" t="inlineStr">
        <is>
          <t>battery-shelter-01</t>
        </is>
      </c>
      <c r="D20" t="inlineStr">
        <is>
          <t>drone_battery_storage</t>
        </is>
      </c>
      <c r="E20" t="inlineStr">
        <is>
          <t>temperature</t>
        </is>
      </c>
      <c r="F20" s="2" t="n">
        <v>46336.75</v>
      </c>
      <c r="G20" t="n">
        <v>34.8</v>
      </c>
      <c r="H20" t="inlineStr">
        <is>
          <t>celsius</t>
        </is>
      </c>
      <c r="I20" t="n">
        <v>6</v>
      </c>
      <c r="J20" t="inlineStr">
        <is>
          <t>airbase/batch005/battery-shelter-01/temperature/0006</t>
        </is>
      </c>
      <c r="K20">
        <f>[@asset_type]&amp;"|"&amp;[@sensor]</f>
        <v/>
      </c>
      <c r="L20">
        <f>XLOOKUP([@clé],Seuils[clé],Seuils[limite])</f>
        <v/>
      </c>
      <c r="M20">
        <f>XLOOKUP([@clé],Seuils[clé],Seuils[direction])</f>
        <v/>
      </c>
      <c r="N20">
        <f>IF([@direction]="&lt;=",[@value]&lt;=[@limite],[@value]&gt;=[@limite])</f>
        <v/>
      </c>
    </row>
    <row r="21">
      <c r="A21" t="inlineStr">
        <is>
          <t>battery-shelter-01-temperature-0007</t>
        </is>
      </c>
      <c r="B21" t="inlineStr">
        <is>
          <t>base-projetee-alpha</t>
        </is>
      </c>
      <c r="C21" t="inlineStr">
        <is>
          <t>battery-shelter-01</t>
        </is>
      </c>
      <c r="D21" t="inlineStr">
        <is>
          <t>drone_battery_storage</t>
        </is>
      </c>
      <c r="E21" t="inlineStr">
        <is>
          <t>temperature</t>
        </is>
      </c>
      <c r="F21" s="2" t="n">
        <v>46336.95833333334</v>
      </c>
      <c r="G21" t="n">
        <v>33.6</v>
      </c>
      <c r="H21" t="inlineStr">
        <is>
          <t>celsius</t>
        </is>
      </c>
      <c r="I21" t="n">
        <v>7</v>
      </c>
      <c r="J21" t="inlineStr">
        <is>
          <t>airbase/batch005/battery-shelter-01/temperature/0007</t>
        </is>
      </c>
      <c r="K21">
        <f>[@asset_type]&amp;"|"&amp;[@sensor]</f>
        <v/>
      </c>
      <c r="L21">
        <f>XLOOKUP([@clé],Seuils[clé],Seuils[limite])</f>
        <v/>
      </c>
      <c r="M21">
        <f>XLOOKUP([@clé],Seuils[clé],Seuils[direction])</f>
        <v/>
      </c>
      <c r="N21">
        <f>IF([@direction]="&lt;=",[@value]&lt;=[@limite],[@value]&gt;=[@limite])</f>
        <v/>
      </c>
    </row>
    <row r="22">
      <c r="A22" t="inlineStr">
        <is>
          <t>battery-shelter-01-temperature-0008</t>
        </is>
      </c>
      <c r="B22" t="inlineStr">
        <is>
          <t>base-projetee-alpha</t>
        </is>
      </c>
      <c r="C22" t="inlineStr">
        <is>
          <t>battery-shelter-01</t>
        </is>
      </c>
      <c r="D22" t="inlineStr">
        <is>
          <t>drone_battery_storage</t>
        </is>
      </c>
      <c r="E22" t="inlineStr">
        <is>
          <t>temperature</t>
        </is>
      </c>
      <c r="F22" s="2" t="n">
        <v>46337.25</v>
      </c>
      <c r="G22" t="n">
        <v>33</v>
      </c>
      <c r="H22" t="inlineStr">
        <is>
          <t>celsius</t>
        </is>
      </c>
      <c r="I22" t="n">
        <v>8</v>
      </c>
      <c r="J22" t="inlineStr">
        <is>
          <t>airbase/batch005/battery-shelter-01/temperature/0008</t>
        </is>
      </c>
      <c r="K22">
        <f>[@asset_type]&amp;"|"&amp;[@sensor]</f>
        <v/>
      </c>
      <c r="L22">
        <f>XLOOKUP([@clé],Seuils[clé],Seuils[limite])</f>
        <v/>
      </c>
      <c r="M22">
        <f>XLOOKUP([@clé],Seuils[clé],Seuils[direction])</f>
        <v/>
      </c>
      <c r="N22">
        <f>IF([@direction]="&lt;=",[@value]&lt;=[@limite],[@value]&gt;=[@limite])</f>
        <v/>
      </c>
    </row>
    <row r="23">
      <c r="A23" t="inlineStr">
        <is>
          <t>battery-shelter-01-temperature-0009</t>
        </is>
      </c>
      <c r="B23" t="inlineStr">
        <is>
          <t>base-projetee-alpha</t>
        </is>
      </c>
      <c r="C23" t="inlineStr">
        <is>
          <t>battery-shelter-01</t>
        </is>
      </c>
      <c r="D23" t="inlineStr">
        <is>
          <t>drone_battery_storage</t>
        </is>
      </c>
      <c r="E23" t="inlineStr">
        <is>
          <t>temperature</t>
        </is>
      </c>
      <c r="F23" s="2" t="n">
        <v>46337.5</v>
      </c>
      <c r="G23" t="n">
        <v>34.9</v>
      </c>
      <c r="H23" t="inlineStr">
        <is>
          <t>celsius</t>
        </is>
      </c>
      <c r="I23" t="n">
        <v>9</v>
      </c>
      <c r="J23" t="inlineStr">
        <is>
          <t>airbase/batch005/battery-shelter-01/temperature/0009</t>
        </is>
      </c>
      <c r="K23">
        <f>[@asset_type]&amp;"|"&amp;[@sensor]</f>
        <v/>
      </c>
      <c r="L23">
        <f>XLOOKUP([@clé],Seuils[clé],Seuils[limite])</f>
        <v/>
      </c>
      <c r="M23">
        <f>XLOOKUP([@clé],Seuils[clé],Seuils[direction])</f>
        <v/>
      </c>
      <c r="N23">
        <f>IF([@direction]="&lt;=",[@value]&lt;=[@limite],[@value]&gt;=[@limite])</f>
        <v/>
      </c>
    </row>
    <row r="24">
      <c r="A24" t="inlineStr">
        <is>
          <t>battery-shelter-01-temperature-0010</t>
        </is>
      </c>
      <c r="B24" t="inlineStr">
        <is>
          <t>base-projetee-alpha</t>
        </is>
      </c>
      <c r="C24" t="inlineStr">
        <is>
          <t>battery-shelter-01</t>
        </is>
      </c>
      <c r="D24" t="inlineStr">
        <is>
          <t>drone_battery_storage</t>
        </is>
      </c>
      <c r="E24" t="inlineStr">
        <is>
          <t>temperature</t>
        </is>
      </c>
      <c r="F24" s="2" t="n">
        <v>46337.75</v>
      </c>
      <c r="G24" t="n">
        <v>35.6</v>
      </c>
      <c r="H24" t="inlineStr">
        <is>
          <t>celsius</t>
        </is>
      </c>
      <c r="I24" t="n">
        <v>10</v>
      </c>
      <c r="J24" t="inlineStr">
        <is>
          <t>airbase/batch005/battery-shelter-01/temperature/0010</t>
        </is>
      </c>
      <c r="K24">
        <f>[@asset_type]&amp;"|"&amp;[@sensor]</f>
        <v/>
      </c>
      <c r="L24">
        <f>XLOOKUP([@clé],Seuils[clé],Seuils[limite])</f>
        <v/>
      </c>
      <c r="M24">
        <f>XLOOKUP([@clé],Seuils[clé],Seuils[direction])</f>
        <v/>
      </c>
      <c r="N24">
        <f>IF([@direction]="&lt;=",[@value]&lt;=[@limite],[@value]&gt;=[@limite])</f>
        <v/>
      </c>
    </row>
    <row r="25">
      <c r="A25" t="inlineStr">
        <is>
          <t>battery-shelter-01-temperature-0011</t>
        </is>
      </c>
      <c r="B25" t="inlineStr">
        <is>
          <t>base-projetee-alpha</t>
        </is>
      </c>
      <c r="C25" t="inlineStr">
        <is>
          <t>battery-shelter-01</t>
        </is>
      </c>
      <c r="D25" t="inlineStr">
        <is>
          <t>drone_battery_storage</t>
        </is>
      </c>
      <c r="E25" t="inlineStr">
        <is>
          <t>temperature</t>
        </is>
      </c>
      <c r="F25" s="2" t="n">
        <v>46337.95833333334</v>
      </c>
      <c r="G25" t="n">
        <v>34.4</v>
      </c>
      <c r="H25" t="inlineStr">
        <is>
          <t>celsius</t>
        </is>
      </c>
      <c r="I25" t="n">
        <v>11</v>
      </c>
      <c r="J25" t="inlineStr">
        <is>
          <t>airbase/batch005/battery-shelter-01/temperature/0011</t>
        </is>
      </c>
      <c r="K25">
        <f>[@asset_type]&amp;"|"&amp;[@sensor]</f>
        <v/>
      </c>
      <c r="L25">
        <f>XLOOKUP([@clé],Seuils[clé],Seuils[limite])</f>
        <v/>
      </c>
      <c r="M25">
        <f>XLOOKUP([@clé],Seuils[clé],Seuils[direction])</f>
        <v/>
      </c>
      <c r="N25">
        <f>IF([@direction]="&lt;=",[@value]&lt;=[@limite],[@value]&gt;=[@limite])</f>
        <v/>
      </c>
    </row>
    <row r="26">
      <c r="A26" t="inlineStr">
        <is>
          <t>comms-shelter-01-lora_rssi-0000</t>
        </is>
      </c>
      <c r="B26" t="inlineStr">
        <is>
          <t>base-projetee-alpha</t>
        </is>
      </c>
      <c r="C26" t="inlineStr">
        <is>
          <t>comms-shelter-01</t>
        </is>
      </c>
      <c r="D26" t="inlineStr">
        <is>
          <t>communications</t>
        </is>
      </c>
      <c r="E26" t="inlineStr">
        <is>
          <t>lora_rssi</t>
        </is>
      </c>
      <c r="F26" s="2" t="n">
        <v>46335.25</v>
      </c>
      <c r="G26" t="n">
        <v>-68</v>
      </c>
      <c r="H26" t="inlineStr">
        <is>
          <t>dbm</t>
        </is>
      </c>
      <c r="I26" t="n">
        <v>0</v>
      </c>
      <c r="J26" t="inlineStr">
        <is>
          <t>airbase/batch005/comms-shelter-01/lora_rssi/0000</t>
        </is>
      </c>
      <c r="K26">
        <f>[@asset_type]&amp;"|"&amp;[@sensor]</f>
        <v/>
      </c>
      <c r="L26">
        <f>XLOOKUP([@clé],Seuils[clé],Seuils[limite])</f>
        <v/>
      </c>
      <c r="M26">
        <f>XLOOKUP([@clé],Seuils[clé],Seuils[direction])</f>
        <v/>
      </c>
      <c r="N26">
        <f>IF([@direction]="&lt;=",[@value]&lt;=[@limite],[@value]&gt;=[@limite])</f>
        <v/>
      </c>
    </row>
    <row r="27">
      <c r="A27" t="inlineStr">
        <is>
          <t>comms-shelter-01-lora_rssi-0001</t>
        </is>
      </c>
      <c r="B27" t="inlineStr">
        <is>
          <t>base-projetee-alpha</t>
        </is>
      </c>
      <c r="C27" t="inlineStr">
        <is>
          <t>comms-shelter-01</t>
        </is>
      </c>
      <c r="D27" t="inlineStr">
        <is>
          <t>communications</t>
        </is>
      </c>
      <c r="E27" t="inlineStr">
        <is>
          <t>lora_rssi</t>
        </is>
      </c>
      <c r="F27" s="2" t="n">
        <v>46335.5</v>
      </c>
      <c r="G27" t="n">
        <v>-70</v>
      </c>
      <c r="H27" t="inlineStr">
        <is>
          <t>dbm</t>
        </is>
      </c>
      <c r="I27" t="n">
        <v>1</v>
      </c>
      <c r="J27" t="inlineStr">
        <is>
          <t>airbase/batch005/comms-shelter-01/lora_rssi/0001</t>
        </is>
      </c>
      <c r="K27">
        <f>[@asset_type]&amp;"|"&amp;[@sensor]</f>
        <v/>
      </c>
      <c r="L27">
        <f>XLOOKUP([@clé],Seuils[clé],Seuils[limite])</f>
        <v/>
      </c>
      <c r="M27">
        <f>XLOOKUP([@clé],Seuils[clé],Seuils[direction])</f>
        <v/>
      </c>
      <c r="N27">
        <f>IF([@direction]="&lt;=",[@value]&lt;=[@limite],[@value]&gt;=[@limite])</f>
        <v/>
      </c>
    </row>
    <row r="28">
      <c r="A28" t="inlineStr">
        <is>
          <t>comms-shelter-01-lora_rssi-0002</t>
        </is>
      </c>
      <c r="B28" t="inlineStr">
        <is>
          <t>base-projetee-alpha</t>
        </is>
      </c>
      <c r="C28" t="inlineStr">
        <is>
          <t>comms-shelter-01</t>
        </is>
      </c>
      <c r="D28" t="inlineStr">
        <is>
          <t>communications</t>
        </is>
      </c>
      <c r="E28" t="inlineStr">
        <is>
          <t>lora_rssi</t>
        </is>
      </c>
      <c r="F28" s="2" t="n">
        <v>46335.75</v>
      </c>
      <c r="G28" t="n">
        <v>-72</v>
      </c>
      <c r="H28" t="inlineStr">
        <is>
          <t>dbm</t>
        </is>
      </c>
      <c r="I28" t="n">
        <v>2</v>
      </c>
      <c r="J28" t="inlineStr">
        <is>
          <t>airbase/batch005/comms-shelter-01/lora_rssi/0002</t>
        </is>
      </c>
      <c r="K28">
        <f>[@asset_type]&amp;"|"&amp;[@sensor]</f>
        <v/>
      </c>
      <c r="L28">
        <f>XLOOKUP([@clé],Seuils[clé],Seuils[limite])</f>
        <v/>
      </c>
      <c r="M28">
        <f>XLOOKUP([@clé],Seuils[clé],Seuils[direction])</f>
        <v/>
      </c>
      <c r="N28">
        <f>IF([@direction]="&lt;=",[@value]&lt;=[@limite],[@value]&gt;=[@limite])</f>
        <v/>
      </c>
    </row>
    <row r="29">
      <c r="A29" t="inlineStr">
        <is>
          <t>comms-shelter-01-lora_rssi-0003</t>
        </is>
      </c>
      <c r="B29" t="inlineStr">
        <is>
          <t>base-projetee-alpha</t>
        </is>
      </c>
      <c r="C29" t="inlineStr">
        <is>
          <t>comms-shelter-01</t>
        </is>
      </c>
      <c r="D29" t="inlineStr">
        <is>
          <t>communications</t>
        </is>
      </c>
      <c r="E29" t="inlineStr">
        <is>
          <t>lora_rssi</t>
        </is>
      </c>
      <c r="F29" s="2" t="n">
        <v>46335.95833333334</v>
      </c>
      <c r="G29" t="n">
        <v>-69</v>
      </c>
      <c r="H29" t="inlineStr">
        <is>
          <t>dbm</t>
        </is>
      </c>
      <c r="I29" t="n">
        <v>3</v>
      </c>
      <c r="J29" t="inlineStr">
        <is>
          <t>airbase/batch005/comms-shelter-01/lora_rssi/0003</t>
        </is>
      </c>
      <c r="K29">
        <f>[@asset_type]&amp;"|"&amp;[@sensor]</f>
        <v/>
      </c>
      <c r="L29">
        <f>XLOOKUP([@clé],Seuils[clé],Seuils[limite])</f>
        <v/>
      </c>
      <c r="M29">
        <f>XLOOKUP([@clé],Seuils[clé],Seuils[direction])</f>
        <v/>
      </c>
      <c r="N29">
        <f>IF([@direction]="&lt;=",[@value]&lt;=[@limite],[@value]&gt;=[@limite])</f>
        <v/>
      </c>
    </row>
    <row r="30">
      <c r="A30" t="inlineStr">
        <is>
          <t>comms-shelter-01-lora_rssi-0004</t>
        </is>
      </c>
      <c r="B30" t="inlineStr">
        <is>
          <t>base-projetee-alpha</t>
        </is>
      </c>
      <c r="C30" t="inlineStr">
        <is>
          <t>comms-shelter-01</t>
        </is>
      </c>
      <c r="D30" t="inlineStr">
        <is>
          <t>communications</t>
        </is>
      </c>
      <c r="E30" t="inlineStr">
        <is>
          <t>lora_rssi</t>
        </is>
      </c>
      <c r="F30" s="2" t="n">
        <v>46336.25</v>
      </c>
      <c r="G30" t="n">
        <v>-67</v>
      </c>
      <c r="H30" t="inlineStr">
        <is>
          <t>dbm</t>
        </is>
      </c>
      <c r="I30" t="n">
        <v>4</v>
      </c>
      <c r="J30" t="inlineStr">
        <is>
          <t>airbase/batch005/comms-shelter-01/lora_rssi/0004</t>
        </is>
      </c>
      <c r="K30">
        <f>[@asset_type]&amp;"|"&amp;[@sensor]</f>
        <v/>
      </c>
      <c r="L30">
        <f>XLOOKUP([@clé],Seuils[clé],Seuils[limite])</f>
        <v/>
      </c>
      <c r="M30">
        <f>XLOOKUP([@clé],Seuils[clé],Seuils[direction])</f>
        <v/>
      </c>
      <c r="N30">
        <f>IF([@direction]="&lt;=",[@value]&lt;=[@limite],[@value]&gt;=[@limite])</f>
        <v/>
      </c>
    </row>
    <row r="31">
      <c r="A31" t="inlineStr">
        <is>
          <t>comms-shelter-01-lora_rssi-0005</t>
        </is>
      </c>
      <c r="B31" t="inlineStr">
        <is>
          <t>base-projetee-alpha</t>
        </is>
      </c>
      <c r="C31" t="inlineStr">
        <is>
          <t>comms-shelter-01</t>
        </is>
      </c>
      <c r="D31" t="inlineStr">
        <is>
          <t>communications</t>
        </is>
      </c>
      <c r="E31" t="inlineStr">
        <is>
          <t>lora_rssi</t>
        </is>
      </c>
      <c r="F31" s="2" t="n">
        <v>46336.5</v>
      </c>
      <c r="G31" t="n">
        <v>-71</v>
      </c>
      <c r="H31" t="inlineStr">
        <is>
          <t>dbm</t>
        </is>
      </c>
      <c r="I31" t="n">
        <v>5</v>
      </c>
      <c r="J31" t="inlineStr">
        <is>
          <t>airbase/batch005/comms-shelter-01/lora_rssi/0005</t>
        </is>
      </c>
      <c r="K31">
        <f>[@asset_type]&amp;"|"&amp;[@sensor]</f>
        <v/>
      </c>
      <c r="L31">
        <f>XLOOKUP([@clé],Seuils[clé],Seuils[limite])</f>
        <v/>
      </c>
      <c r="M31">
        <f>XLOOKUP([@clé],Seuils[clé],Seuils[direction])</f>
        <v/>
      </c>
      <c r="N31">
        <f>IF([@direction]="&lt;=",[@value]&lt;=[@limite],[@value]&gt;=[@limite])</f>
        <v/>
      </c>
    </row>
    <row r="32">
      <c r="A32" t="inlineStr">
        <is>
          <t>comms-shelter-01-lora_rssi-0006</t>
        </is>
      </c>
      <c r="B32" t="inlineStr">
        <is>
          <t>base-projetee-alpha</t>
        </is>
      </c>
      <c r="C32" t="inlineStr">
        <is>
          <t>comms-shelter-01</t>
        </is>
      </c>
      <c r="D32" t="inlineStr">
        <is>
          <t>communications</t>
        </is>
      </c>
      <c r="E32" t="inlineStr">
        <is>
          <t>lora_rssi</t>
        </is>
      </c>
      <c r="F32" s="2" t="n">
        <v>46336.75</v>
      </c>
      <c r="G32" t="n">
        <v>-73</v>
      </c>
      <c r="H32" t="inlineStr">
        <is>
          <t>dbm</t>
        </is>
      </c>
      <c r="I32" t="n">
        <v>6</v>
      </c>
      <c r="J32" t="inlineStr">
        <is>
          <t>airbase/batch005/comms-shelter-01/lora_rssi/0006</t>
        </is>
      </c>
      <c r="K32">
        <f>[@asset_type]&amp;"|"&amp;[@sensor]</f>
        <v/>
      </c>
      <c r="L32">
        <f>XLOOKUP([@clé],Seuils[clé],Seuils[limite])</f>
        <v/>
      </c>
      <c r="M32">
        <f>XLOOKUP([@clé],Seuils[clé],Seuils[direction])</f>
        <v/>
      </c>
      <c r="N32">
        <f>IF([@direction]="&lt;=",[@value]&lt;=[@limite],[@value]&gt;=[@limite])</f>
        <v/>
      </c>
    </row>
    <row r="33">
      <c r="A33" t="inlineStr">
        <is>
          <t>comms-shelter-01-lora_rssi-0007</t>
        </is>
      </c>
      <c r="B33" t="inlineStr">
        <is>
          <t>base-projetee-alpha</t>
        </is>
      </c>
      <c r="C33" t="inlineStr">
        <is>
          <t>comms-shelter-01</t>
        </is>
      </c>
      <c r="D33" t="inlineStr">
        <is>
          <t>communications</t>
        </is>
      </c>
      <c r="E33" t="inlineStr">
        <is>
          <t>lora_rssi</t>
        </is>
      </c>
      <c r="F33" s="2" t="n">
        <v>46336.95833333334</v>
      </c>
      <c r="G33" t="n">
        <v>-70</v>
      </c>
      <c r="H33" t="inlineStr">
        <is>
          <t>dbm</t>
        </is>
      </c>
      <c r="I33" t="n">
        <v>7</v>
      </c>
      <c r="J33" t="inlineStr">
        <is>
          <t>airbase/batch005/comms-shelter-01/lora_rssi/0007</t>
        </is>
      </c>
      <c r="K33">
        <f>[@asset_type]&amp;"|"&amp;[@sensor]</f>
        <v/>
      </c>
      <c r="L33">
        <f>XLOOKUP([@clé],Seuils[clé],Seuils[limite])</f>
        <v/>
      </c>
      <c r="M33">
        <f>XLOOKUP([@clé],Seuils[clé],Seuils[direction])</f>
        <v/>
      </c>
      <c r="N33">
        <f>IF([@direction]="&lt;=",[@value]&lt;=[@limite],[@value]&gt;=[@limite])</f>
        <v/>
      </c>
    </row>
    <row r="34">
      <c r="A34" t="inlineStr">
        <is>
          <t>comms-shelter-01-lora_rssi-0008</t>
        </is>
      </c>
      <c r="B34" t="inlineStr">
        <is>
          <t>base-projetee-alpha</t>
        </is>
      </c>
      <c r="C34" t="inlineStr">
        <is>
          <t>comms-shelter-01</t>
        </is>
      </c>
      <c r="D34" t="inlineStr">
        <is>
          <t>communications</t>
        </is>
      </c>
      <c r="E34" t="inlineStr">
        <is>
          <t>lora_rssi</t>
        </is>
      </c>
      <c r="F34" s="2" t="n">
        <v>46337.25</v>
      </c>
      <c r="G34" t="n">
        <v>-66</v>
      </c>
      <c r="H34" t="inlineStr">
        <is>
          <t>dbm</t>
        </is>
      </c>
      <c r="I34" t="n">
        <v>8</v>
      </c>
      <c r="J34" t="inlineStr">
        <is>
          <t>airbase/batch005/comms-shelter-01/lora_rssi/0008</t>
        </is>
      </c>
      <c r="K34">
        <f>[@asset_type]&amp;"|"&amp;[@sensor]</f>
        <v/>
      </c>
      <c r="L34">
        <f>XLOOKUP([@clé],Seuils[clé],Seuils[limite])</f>
        <v/>
      </c>
      <c r="M34">
        <f>XLOOKUP([@clé],Seuils[clé],Seuils[direction])</f>
        <v/>
      </c>
      <c r="N34">
        <f>IF([@direction]="&lt;=",[@value]&lt;=[@limite],[@value]&gt;=[@limite])</f>
        <v/>
      </c>
    </row>
    <row r="35">
      <c r="A35" t="inlineStr">
        <is>
          <t>comms-shelter-01-lora_rssi-0009</t>
        </is>
      </c>
      <c r="B35" t="inlineStr">
        <is>
          <t>base-projetee-alpha</t>
        </is>
      </c>
      <c r="C35" t="inlineStr">
        <is>
          <t>comms-shelter-01</t>
        </is>
      </c>
      <c r="D35" t="inlineStr">
        <is>
          <t>communications</t>
        </is>
      </c>
      <c r="E35" t="inlineStr">
        <is>
          <t>lora_rssi</t>
        </is>
      </c>
      <c r="F35" s="2" t="n">
        <v>46337.5</v>
      </c>
      <c r="G35" t="n">
        <v>-69</v>
      </c>
      <c r="H35" t="inlineStr">
        <is>
          <t>dbm</t>
        </is>
      </c>
      <c r="I35" t="n">
        <v>9</v>
      </c>
      <c r="J35" t="inlineStr">
        <is>
          <t>airbase/batch005/comms-shelter-01/lora_rssi/0009</t>
        </is>
      </c>
      <c r="K35">
        <f>[@asset_type]&amp;"|"&amp;[@sensor]</f>
        <v/>
      </c>
      <c r="L35">
        <f>XLOOKUP([@clé],Seuils[clé],Seuils[limite])</f>
        <v/>
      </c>
      <c r="M35">
        <f>XLOOKUP([@clé],Seuils[clé],Seuils[direction])</f>
        <v/>
      </c>
      <c r="N35">
        <f>IF([@direction]="&lt;=",[@value]&lt;=[@limite],[@value]&gt;=[@limite])</f>
        <v/>
      </c>
    </row>
    <row r="36">
      <c r="A36" t="inlineStr">
        <is>
          <t>comms-shelter-01-lora_rssi-0010</t>
        </is>
      </c>
      <c r="B36" t="inlineStr">
        <is>
          <t>base-projetee-alpha</t>
        </is>
      </c>
      <c r="C36" t="inlineStr">
        <is>
          <t>comms-shelter-01</t>
        </is>
      </c>
      <c r="D36" t="inlineStr">
        <is>
          <t>communications</t>
        </is>
      </c>
      <c r="E36" t="inlineStr">
        <is>
          <t>lora_rssi</t>
        </is>
      </c>
      <c r="F36" s="2" t="n">
        <v>46337.75</v>
      </c>
      <c r="G36" t="n">
        <v>-72</v>
      </c>
      <c r="H36" t="inlineStr">
        <is>
          <t>dbm</t>
        </is>
      </c>
      <c r="I36" t="n">
        <v>10</v>
      </c>
      <c r="J36" t="inlineStr">
        <is>
          <t>airbase/batch005/comms-shelter-01/lora_rssi/0010</t>
        </is>
      </c>
      <c r="K36">
        <f>[@asset_type]&amp;"|"&amp;[@sensor]</f>
        <v/>
      </c>
      <c r="L36">
        <f>XLOOKUP([@clé],Seuils[clé],Seuils[limite])</f>
        <v/>
      </c>
      <c r="M36">
        <f>XLOOKUP([@clé],Seuils[clé],Seuils[direction])</f>
        <v/>
      </c>
      <c r="N36">
        <f>IF([@direction]="&lt;=",[@value]&lt;=[@limite],[@value]&gt;=[@limite])</f>
        <v/>
      </c>
    </row>
    <row r="37">
      <c r="A37" t="inlineStr">
        <is>
          <t>comms-shelter-01-lora_rssi-0011</t>
        </is>
      </c>
      <c r="B37" t="inlineStr">
        <is>
          <t>base-projetee-alpha</t>
        </is>
      </c>
      <c r="C37" t="inlineStr">
        <is>
          <t>comms-shelter-01</t>
        </is>
      </c>
      <c r="D37" t="inlineStr">
        <is>
          <t>communications</t>
        </is>
      </c>
      <c r="E37" t="inlineStr">
        <is>
          <t>lora_rssi</t>
        </is>
      </c>
      <c r="F37" s="2" t="n">
        <v>46337.95833333334</v>
      </c>
      <c r="G37" t="n">
        <v>-68</v>
      </c>
      <c r="H37" t="inlineStr">
        <is>
          <t>dbm</t>
        </is>
      </c>
      <c r="I37" t="n">
        <v>11</v>
      </c>
      <c r="J37" t="inlineStr">
        <is>
          <t>airbase/batch005/comms-shelter-01/lora_rssi/0011</t>
        </is>
      </c>
      <c r="K37">
        <f>[@asset_type]&amp;"|"&amp;[@sensor]</f>
        <v/>
      </c>
      <c r="L37">
        <f>XLOOKUP([@clé],Seuils[clé],Seuils[limite])</f>
        <v/>
      </c>
      <c r="M37">
        <f>XLOOKUP([@clé],Seuils[clé],Seuils[direction])</f>
        <v/>
      </c>
      <c r="N37">
        <f>IF([@direction]="&lt;=",[@value]&lt;=[@limite],[@value]&gt;=[@limite])</f>
        <v/>
      </c>
    </row>
    <row r="38">
      <c r="A38" t="inlineStr">
        <is>
          <t>comms-shelter-01-temperature-0000</t>
        </is>
      </c>
      <c r="B38" t="inlineStr">
        <is>
          <t>base-projetee-alpha</t>
        </is>
      </c>
      <c r="C38" t="inlineStr">
        <is>
          <t>comms-shelter-01</t>
        </is>
      </c>
      <c r="D38" t="inlineStr">
        <is>
          <t>communications</t>
        </is>
      </c>
      <c r="E38" t="inlineStr">
        <is>
          <t>temperature</t>
        </is>
      </c>
      <c r="F38" s="2" t="n">
        <v>46335.25</v>
      </c>
      <c r="G38" t="n">
        <v>28</v>
      </c>
      <c r="H38" t="inlineStr">
        <is>
          <t>celsius</t>
        </is>
      </c>
      <c r="I38" t="n">
        <v>0</v>
      </c>
      <c r="J38" t="inlineStr">
        <is>
          <t>airbase/batch005/comms-shelter-01/temperature/0000</t>
        </is>
      </c>
      <c r="K38">
        <f>[@asset_type]&amp;"|"&amp;[@sensor]</f>
        <v/>
      </c>
      <c r="L38">
        <f>XLOOKUP([@clé],Seuils[clé],Seuils[limite])</f>
        <v/>
      </c>
      <c r="M38">
        <f>XLOOKUP([@clé],Seuils[clé],Seuils[direction])</f>
        <v/>
      </c>
      <c r="N38">
        <f>IF([@direction]="&lt;=",[@value]&lt;=[@limite],[@value]&gt;=[@limite])</f>
        <v/>
      </c>
    </row>
    <row r="39">
      <c r="A39" t="inlineStr">
        <is>
          <t>comms-shelter-01-temperature-0001</t>
        </is>
      </c>
      <c r="B39" t="inlineStr">
        <is>
          <t>base-projetee-alpha</t>
        </is>
      </c>
      <c r="C39" t="inlineStr">
        <is>
          <t>comms-shelter-01</t>
        </is>
      </c>
      <c r="D39" t="inlineStr">
        <is>
          <t>communications</t>
        </is>
      </c>
      <c r="E39" t="inlineStr">
        <is>
          <t>temperature</t>
        </is>
      </c>
      <c r="F39" s="2" t="n">
        <v>46335.5</v>
      </c>
      <c r="G39" t="n">
        <v>29</v>
      </c>
      <c r="H39" t="inlineStr">
        <is>
          <t>celsius</t>
        </is>
      </c>
      <c r="I39" t="n">
        <v>1</v>
      </c>
      <c r="J39" t="inlineStr">
        <is>
          <t>airbase/batch005/comms-shelter-01/temperature/0001</t>
        </is>
      </c>
      <c r="K39">
        <f>[@asset_type]&amp;"|"&amp;[@sensor]</f>
        <v/>
      </c>
      <c r="L39">
        <f>XLOOKUP([@clé],Seuils[clé],Seuils[limite])</f>
        <v/>
      </c>
      <c r="M39">
        <f>XLOOKUP([@clé],Seuils[clé],Seuils[direction])</f>
        <v/>
      </c>
      <c r="N39">
        <f>IF([@direction]="&lt;=",[@value]&lt;=[@limite],[@value]&gt;=[@limite])</f>
        <v/>
      </c>
    </row>
    <row r="40">
      <c r="A40" t="inlineStr">
        <is>
          <t>comms-shelter-01-temperature-0002</t>
        </is>
      </c>
      <c r="B40" t="inlineStr">
        <is>
          <t>base-projetee-alpha</t>
        </is>
      </c>
      <c r="C40" t="inlineStr">
        <is>
          <t>comms-shelter-01</t>
        </is>
      </c>
      <c r="D40" t="inlineStr">
        <is>
          <t>communications</t>
        </is>
      </c>
      <c r="E40" t="inlineStr">
        <is>
          <t>temperature</t>
        </is>
      </c>
      <c r="F40" s="2" t="n">
        <v>46335.75</v>
      </c>
      <c r="G40" t="n">
        <v>29.4</v>
      </c>
      <c r="H40" t="inlineStr">
        <is>
          <t>celsius</t>
        </is>
      </c>
      <c r="I40" t="n">
        <v>2</v>
      </c>
      <c r="J40" t="inlineStr">
        <is>
          <t>airbase/batch005/comms-shelter-01/temperature/0002</t>
        </is>
      </c>
      <c r="K40">
        <f>[@asset_type]&amp;"|"&amp;[@sensor]</f>
        <v/>
      </c>
      <c r="L40">
        <f>XLOOKUP([@clé],Seuils[clé],Seuils[limite])</f>
        <v/>
      </c>
      <c r="M40">
        <f>XLOOKUP([@clé],Seuils[clé],Seuils[direction])</f>
        <v/>
      </c>
      <c r="N40">
        <f>IF([@direction]="&lt;=",[@value]&lt;=[@limite],[@value]&gt;=[@limite])</f>
        <v/>
      </c>
    </row>
    <row r="41">
      <c r="A41" t="inlineStr">
        <is>
          <t>comms-shelter-01-temperature-0003</t>
        </is>
      </c>
      <c r="B41" t="inlineStr">
        <is>
          <t>base-projetee-alpha</t>
        </is>
      </c>
      <c r="C41" t="inlineStr">
        <is>
          <t>comms-shelter-01</t>
        </is>
      </c>
      <c r="D41" t="inlineStr">
        <is>
          <t>communications</t>
        </is>
      </c>
      <c r="E41" t="inlineStr">
        <is>
          <t>temperature</t>
        </is>
      </c>
      <c r="F41" s="2" t="n">
        <v>46335.95833333334</v>
      </c>
      <c r="G41" t="n">
        <v>28.6</v>
      </c>
      <c r="H41" t="inlineStr">
        <is>
          <t>celsius</t>
        </is>
      </c>
      <c r="I41" t="n">
        <v>3</v>
      </c>
      <c r="J41" t="inlineStr">
        <is>
          <t>airbase/batch005/comms-shelter-01/temperature/0003</t>
        </is>
      </c>
      <c r="K41">
        <f>[@asset_type]&amp;"|"&amp;[@sensor]</f>
        <v/>
      </c>
      <c r="L41">
        <f>XLOOKUP([@clé],Seuils[clé],Seuils[limite])</f>
        <v/>
      </c>
      <c r="M41">
        <f>XLOOKUP([@clé],Seuils[clé],Seuils[direction])</f>
        <v/>
      </c>
      <c r="N41">
        <f>IF([@direction]="&lt;=",[@value]&lt;=[@limite],[@value]&gt;=[@limite])</f>
        <v/>
      </c>
    </row>
    <row r="42">
      <c r="A42" t="inlineStr">
        <is>
          <t>comms-shelter-01-temperature-0004</t>
        </is>
      </c>
      <c r="B42" t="inlineStr">
        <is>
          <t>base-projetee-alpha</t>
        </is>
      </c>
      <c r="C42" t="inlineStr">
        <is>
          <t>comms-shelter-01</t>
        </is>
      </c>
      <c r="D42" t="inlineStr">
        <is>
          <t>communications</t>
        </is>
      </c>
      <c r="E42" t="inlineStr">
        <is>
          <t>temperature</t>
        </is>
      </c>
      <c r="F42" s="2" t="n">
        <v>46336.25</v>
      </c>
      <c r="G42" t="n">
        <v>28.2</v>
      </c>
      <c r="H42" t="inlineStr">
        <is>
          <t>celsius</t>
        </is>
      </c>
      <c r="I42" t="n">
        <v>4</v>
      </c>
      <c r="J42" t="inlineStr">
        <is>
          <t>airbase/batch005/comms-shelter-01/temperature/0004</t>
        </is>
      </c>
      <c r="K42">
        <f>[@asset_type]&amp;"|"&amp;[@sensor]</f>
        <v/>
      </c>
      <c r="L42">
        <f>XLOOKUP([@clé],Seuils[clé],Seuils[limite])</f>
        <v/>
      </c>
      <c r="M42">
        <f>XLOOKUP([@clé],Seuils[clé],Seuils[direction])</f>
        <v/>
      </c>
      <c r="N42">
        <f>IF([@direction]="&lt;=",[@value]&lt;=[@limite],[@value]&gt;=[@limite])</f>
        <v/>
      </c>
    </row>
    <row r="43">
      <c r="A43" t="inlineStr">
        <is>
          <t>comms-shelter-01-temperature-0005</t>
        </is>
      </c>
      <c r="B43" t="inlineStr">
        <is>
          <t>base-projetee-alpha</t>
        </is>
      </c>
      <c r="C43" t="inlineStr">
        <is>
          <t>comms-shelter-01</t>
        </is>
      </c>
      <c r="D43" t="inlineStr">
        <is>
          <t>communications</t>
        </is>
      </c>
      <c r="E43" t="inlineStr">
        <is>
          <t>temperature</t>
        </is>
      </c>
      <c r="F43" s="2" t="n">
        <v>46336.5</v>
      </c>
      <c r="G43" t="n">
        <v>29.2</v>
      </c>
      <c r="H43" t="inlineStr">
        <is>
          <t>celsius</t>
        </is>
      </c>
      <c r="I43" t="n">
        <v>5</v>
      </c>
      <c r="J43" t="inlineStr">
        <is>
          <t>airbase/batch005/comms-shelter-01/temperature/0005</t>
        </is>
      </c>
      <c r="K43">
        <f>[@asset_type]&amp;"|"&amp;[@sensor]</f>
        <v/>
      </c>
      <c r="L43">
        <f>XLOOKUP([@clé],Seuils[clé],Seuils[limite])</f>
        <v/>
      </c>
      <c r="M43">
        <f>XLOOKUP([@clé],Seuils[clé],Seuils[direction])</f>
        <v/>
      </c>
      <c r="N43">
        <f>IF([@direction]="&lt;=",[@value]&lt;=[@limite],[@value]&gt;=[@limite])</f>
        <v/>
      </c>
    </row>
    <row r="44">
      <c r="A44" t="inlineStr">
        <is>
          <t>comms-shelter-01-temperature-0006</t>
        </is>
      </c>
      <c r="B44" t="inlineStr">
        <is>
          <t>base-projetee-alpha</t>
        </is>
      </c>
      <c r="C44" t="inlineStr">
        <is>
          <t>comms-shelter-01</t>
        </is>
      </c>
      <c r="D44" t="inlineStr">
        <is>
          <t>communications</t>
        </is>
      </c>
      <c r="E44" t="inlineStr">
        <is>
          <t>temperature</t>
        </is>
      </c>
      <c r="F44" s="2" t="n">
        <v>46336.75</v>
      </c>
      <c r="G44" t="n">
        <v>29.6</v>
      </c>
      <c r="H44" t="inlineStr">
        <is>
          <t>celsius</t>
        </is>
      </c>
      <c r="I44" t="n">
        <v>6</v>
      </c>
      <c r="J44" t="inlineStr">
        <is>
          <t>airbase/batch005/comms-shelter-01/temperature/0006</t>
        </is>
      </c>
      <c r="K44">
        <f>[@asset_type]&amp;"|"&amp;[@sensor]</f>
        <v/>
      </c>
      <c r="L44">
        <f>XLOOKUP([@clé],Seuils[clé],Seuils[limite])</f>
        <v/>
      </c>
      <c r="M44">
        <f>XLOOKUP([@clé],Seuils[clé],Seuils[direction])</f>
        <v/>
      </c>
      <c r="N44">
        <f>IF([@direction]="&lt;=",[@value]&lt;=[@limite],[@value]&gt;=[@limite])</f>
        <v/>
      </c>
    </row>
    <row r="45">
      <c r="A45" t="inlineStr">
        <is>
          <t>comms-shelter-01-temperature-0007</t>
        </is>
      </c>
      <c r="B45" t="inlineStr">
        <is>
          <t>base-projetee-alpha</t>
        </is>
      </c>
      <c r="C45" t="inlineStr">
        <is>
          <t>comms-shelter-01</t>
        </is>
      </c>
      <c r="D45" t="inlineStr">
        <is>
          <t>communications</t>
        </is>
      </c>
      <c r="E45" t="inlineStr">
        <is>
          <t>temperature</t>
        </is>
      </c>
      <c r="F45" s="2" t="n">
        <v>46336.95833333334</v>
      </c>
      <c r="G45" t="n">
        <v>28.8</v>
      </c>
      <c r="H45" t="inlineStr">
        <is>
          <t>celsius</t>
        </is>
      </c>
      <c r="I45" t="n">
        <v>7</v>
      </c>
      <c r="J45" t="inlineStr">
        <is>
          <t>airbase/batch005/comms-shelter-01/temperature/0007</t>
        </is>
      </c>
      <c r="K45">
        <f>[@asset_type]&amp;"|"&amp;[@sensor]</f>
        <v/>
      </c>
      <c r="L45">
        <f>XLOOKUP([@clé],Seuils[clé],Seuils[limite])</f>
        <v/>
      </c>
      <c r="M45">
        <f>XLOOKUP([@clé],Seuils[clé],Seuils[direction])</f>
        <v/>
      </c>
      <c r="N45">
        <f>IF([@direction]="&lt;=",[@value]&lt;=[@limite],[@value]&gt;=[@limite])</f>
        <v/>
      </c>
    </row>
    <row r="46">
      <c r="A46" t="inlineStr">
        <is>
          <t>comms-shelter-01-temperature-0008</t>
        </is>
      </c>
      <c r="B46" t="inlineStr">
        <is>
          <t>base-projetee-alpha</t>
        </is>
      </c>
      <c r="C46" t="inlineStr">
        <is>
          <t>comms-shelter-01</t>
        </is>
      </c>
      <c r="D46" t="inlineStr">
        <is>
          <t>communications</t>
        </is>
      </c>
      <c r="E46" t="inlineStr">
        <is>
          <t>temperature</t>
        </is>
      </c>
      <c r="F46" s="2" t="n">
        <v>46337.25</v>
      </c>
      <c r="G46" t="n">
        <v>28.4</v>
      </c>
      <c r="H46" t="inlineStr">
        <is>
          <t>celsius</t>
        </is>
      </c>
      <c r="I46" t="n">
        <v>8</v>
      </c>
      <c r="J46" t="inlineStr">
        <is>
          <t>airbase/batch005/comms-shelter-01/temperature/0008</t>
        </is>
      </c>
      <c r="K46">
        <f>[@asset_type]&amp;"|"&amp;[@sensor]</f>
        <v/>
      </c>
      <c r="L46">
        <f>XLOOKUP([@clé],Seuils[clé],Seuils[limite])</f>
        <v/>
      </c>
      <c r="M46">
        <f>XLOOKUP([@clé],Seuils[clé],Seuils[direction])</f>
        <v/>
      </c>
      <c r="N46">
        <f>IF([@direction]="&lt;=",[@value]&lt;=[@limite],[@value]&gt;=[@limite])</f>
        <v/>
      </c>
    </row>
    <row r="47">
      <c r="A47" t="inlineStr">
        <is>
          <t>comms-shelter-01-temperature-0009</t>
        </is>
      </c>
      <c r="B47" t="inlineStr">
        <is>
          <t>base-projetee-alpha</t>
        </is>
      </c>
      <c r="C47" t="inlineStr">
        <is>
          <t>comms-shelter-01</t>
        </is>
      </c>
      <c r="D47" t="inlineStr">
        <is>
          <t>communications</t>
        </is>
      </c>
      <c r="E47" t="inlineStr">
        <is>
          <t>temperature</t>
        </is>
      </c>
      <c r="F47" s="2" t="n">
        <v>46337.5</v>
      </c>
      <c r="G47" t="n">
        <v>29.4</v>
      </c>
      <c r="H47" t="inlineStr">
        <is>
          <t>celsius</t>
        </is>
      </c>
      <c r="I47" t="n">
        <v>9</v>
      </c>
      <c r="J47" t="inlineStr">
        <is>
          <t>airbase/batch005/comms-shelter-01/temperature/0009</t>
        </is>
      </c>
      <c r="K47">
        <f>[@asset_type]&amp;"|"&amp;[@sensor]</f>
        <v/>
      </c>
      <c r="L47">
        <f>XLOOKUP([@clé],Seuils[clé],Seuils[limite])</f>
        <v/>
      </c>
      <c r="M47">
        <f>XLOOKUP([@clé],Seuils[clé],Seuils[direction])</f>
        <v/>
      </c>
      <c r="N47">
        <f>IF([@direction]="&lt;=",[@value]&lt;=[@limite],[@value]&gt;=[@limite])</f>
        <v/>
      </c>
    </row>
    <row r="48">
      <c r="A48" t="inlineStr">
        <is>
          <t>comms-shelter-01-temperature-0010</t>
        </is>
      </c>
      <c r="B48" t="inlineStr">
        <is>
          <t>base-projetee-alpha</t>
        </is>
      </c>
      <c r="C48" t="inlineStr">
        <is>
          <t>comms-shelter-01</t>
        </is>
      </c>
      <c r="D48" t="inlineStr">
        <is>
          <t>communications</t>
        </is>
      </c>
      <c r="E48" t="inlineStr">
        <is>
          <t>temperature</t>
        </is>
      </c>
      <c r="F48" s="2" t="n">
        <v>46337.75</v>
      </c>
      <c r="G48" t="n">
        <v>29.8</v>
      </c>
      <c r="H48" t="inlineStr">
        <is>
          <t>celsius</t>
        </is>
      </c>
      <c r="I48" t="n">
        <v>10</v>
      </c>
      <c r="J48" t="inlineStr">
        <is>
          <t>airbase/batch005/comms-shelter-01/temperature/0010</t>
        </is>
      </c>
      <c r="K48">
        <f>[@asset_type]&amp;"|"&amp;[@sensor]</f>
        <v/>
      </c>
      <c r="L48">
        <f>XLOOKUP([@clé],Seuils[clé],Seuils[limite])</f>
        <v/>
      </c>
      <c r="M48">
        <f>XLOOKUP([@clé],Seuils[clé],Seuils[direction])</f>
        <v/>
      </c>
      <c r="N48">
        <f>IF([@direction]="&lt;=",[@value]&lt;=[@limite],[@value]&gt;=[@limite])</f>
        <v/>
      </c>
    </row>
    <row r="49">
      <c r="A49" t="inlineStr">
        <is>
          <t>comms-shelter-01-temperature-0011</t>
        </is>
      </c>
      <c r="B49" t="inlineStr">
        <is>
          <t>base-projetee-alpha</t>
        </is>
      </c>
      <c r="C49" t="inlineStr">
        <is>
          <t>comms-shelter-01</t>
        </is>
      </c>
      <c r="D49" t="inlineStr">
        <is>
          <t>communications</t>
        </is>
      </c>
      <c r="E49" t="inlineStr">
        <is>
          <t>temperature</t>
        </is>
      </c>
      <c r="F49" s="2" t="n">
        <v>46337.95833333334</v>
      </c>
      <c r="G49" t="n">
        <v>29</v>
      </c>
      <c r="H49" t="inlineStr">
        <is>
          <t>celsius</t>
        </is>
      </c>
      <c r="I49" t="n">
        <v>11</v>
      </c>
      <c r="J49" t="inlineStr">
        <is>
          <t>airbase/batch005/comms-shelter-01/temperature/0011</t>
        </is>
      </c>
      <c r="K49">
        <f>[@asset_type]&amp;"|"&amp;[@sensor]</f>
        <v/>
      </c>
      <c r="L49">
        <f>XLOOKUP([@clé],Seuils[clé],Seuils[limite])</f>
        <v/>
      </c>
      <c r="M49">
        <f>XLOOKUP([@clé],Seuils[clé],Seuils[direction])</f>
        <v/>
      </c>
      <c r="N49">
        <f>IF([@direction]="&lt;=",[@value]&lt;=[@limite],[@value]&gt;=[@limite])</f>
        <v/>
      </c>
    </row>
    <row r="50">
      <c r="A50" t="inlineStr">
        <is>
          <t>fuel-storage-01-temperature-0000</t>
        </is>
      </c>
      <c r="B50" t="inlineStr">
        <is>
          <t>base-projetee-alpha</t>
        </is>
      </c>
      <c r="C50" t="inlineStr">
        <is>
          <t>fuel-storage-01</t>
        </is>
      </c>
      <c r="D50" t="inlineStr">
        <is>
          <t>fuel_storage</t>
        </is>
      </c>
      <c r="E50" t="inlineStr">
        <is>
          <t>temperature</t>
        </is>
      </c>
      <c r="F50" s="2" t="n">
        <v>46335.25</v>
      </c>
      <c r="G50" t="n">
        <v>28.4</v>
      </c>
      <c r="H50" t="inlineStr">
        <is>
          <t>celsius</t>
        </is>
      </c>
      <c r="I50" t="n">
        <v>0</v>
      </c>
      <c r="J50" t="inlineStr">
        <is>
          <t>airbase/batch005/fuel-storage-01/temperature/0000</t>
        </is>
      </c>
      <c r="K50">
        <f>[@asset_type]&amp;"|"&amp;[@sensor]</f>
        <v/>
      </c>
      <c r="L50">
        <f>XLOOKUP([@clé],Seuils[clé],Seuils[limite])</f>
        <v/>
      </c>
      <c r="M50">
        <f>XLOOKUP([@clé],Seuils[clé],Seuils[direction])</f>
        <v/>
      </c>
      <c r="N50">
        <f>IF([@direction]="&lt;=",[@value]&lt;=[@limite],[@value]&gt;=[@limite])</f>
        <v/>
      </c>
    </row>
    <row r="51">
      <c r="A51" t="inlineStr">
        <is>
          <t>fuel-storage-01-temperature-0001</t>
        </is>
      </c>
      <c r="B51" t="inlineStr">
        <is>
          <t>base-projetee-alpha</t>
        </is>
      </c>
      <c r="C51" t="inlineStr">
        <is>
          <t>fuel-storage-01</t>
        </is>
      </c>
      <c r="D51" t="inlineStr">
        <is>
          <t>fuel_storage</t>
        </is>
      </c>
      <c r="E51" t="inlineStr">
        <is>
          <t>temperature</t>
        </is>
      </c>
      <c r="F51" s="2" t="n">
        <v>46335.5</v>
      </c>
      <c r="G51" t="n">
        <v>29</v>
      </c>
      <c r="H51" t="inlineStr">
        <is>
          <t>celsius</t>
        </is>
      </c>
      <c r="I51" t="n">
        <v>1</v>
      </c>
      <c r="J51" t="inlineStr">
        <is>
          <t>airbase/batch005/fuel-storage-01/temperature/0001</t>
        </is>
      </c>
      <c r="K51">
        <f>[@asset_type]&amp;"|"&amp;[@sensor]</f>
        <v/>
      </c>
      <c r="L51">
        <f>XLOOKUP([@clé],Seuils[clé],Seuils[limite])</f>
        <v/>
      </c>
      <c r="M51">
        <f>XLOOKUP([@clé],Seuils[clé],Seuils[direction])</f>
        <v/>
      </c>
      <c r="N51">
        <f>IF([@direction]="&lt;=",[@value]&lt;=[@limite],[@value]&gt;=[@limite])</f>
        <v/>
      </c>
    </row>
    <row r="52">
      <c r="A52" t="inlineStr">
        <is>
          <t>fuel-storage-01-temperature-0002</t>
        </is>
      </c>
      <c r="B52" t="inlineStr">
        <is>
          <t>base-projetee-alpha</t>
        </is>
      </c>
      <c r="C52" t="inlineStr">
        <is>
          <t>fuel-storage-01</t>
        </is>
      </c>
      <c r="D52" t="inlineStr">
        <is>
          <t>fuel_storage</t>
        </is>
      </c>
      <c r="E52" t="inlineStr">
        <is>
          <t>temperature</t>
        </is>
      </c>
      <c r="F52" s="2" t="n">
        <v>46335.75</v>
      </c>
      <c r="G52" t="n">
        <v>29.6</v>
      </c>
      <c r="H52" t="inlineStr">
        <is>
          <t>celsius</t>
        </is>
      </c>
      <c r="I52" t="n">
        <v>2</v>
      </c>
      <c r="J52" t="inlineStr">
        <is>
          <t>airbase/batch005/fuel-storage-01/temperature/0002</t>
        </is>
      </c>
      <c r="K52">
        <f>[@asset_type]&amp;"|"&amp;[@sensor]</f>
        <v/>
      </c>
      <c r="L52">
        <f>XLOOKUP([@clé],Seuils[clé],Seuils[limite])</f>
        <v/>
      </c>
      <c r="M52">
        <f>XLOOKUP([@clé],Seuils[clé],Seuils[direction])</f>
        <v/>
      </c>
      <c r="N52">
        <f>IF([@direction]="&lt;=",[@value]&lt;=[@limite],[@value]&gt;=[@limite])</f>
        <v/>
      </c>
    </row>
    <row r="53">
      <c r="A53" t="inlineStr">
        <is>
          <t>fuel-storage-01-temperature-0003</t>
        </is>
      </c>
      <c r="B53" t="inlineStr">
        <is>
          <t>base-projetee-alpha</t>
        </is>
      </c>
      <c r="C53" t="inlineStr">
        <is>
          <t>fuel-storage-01</t>
        </is>
      </c>
      <c r="D53" t="inlineStr">
        <is>
          <t>fuel_storage</t>
        </is>
      </c>
      <c r="E53" t="inlineStr">
        <is>
          <t>temperature</t>
        </is>
      </c>
      <c r="F53" s="2" t="n">
        <v>46335.95833333334</v>
      </c>
      <c r="G53" t="n">
        <v>29.2</v>
      </c>
      <c r="H53" t="inlineStr">
        <is>
          <t>celsius</t>
        </is>
      </c>
      <c r="I53" t="n">
        <v>3</v>
      </c>
      <c r="J53" t="inlineStr">
        <is>
          <t>airbase/batch005/fuel-storage-01/temperature/0003</t>
        </is>
      </c>
      <c r="K53">
        <f>[@asset_type]&amp;"|"&amp;[@sensor]</f>
        <v/>
      </c>
      <c r="L53">
        <f>XLOOKUP([@clé],Seuils[clé],Seuils[limite])</f>
        <v/>
      </c>
      <c r="M53">
        <f>XLOOKUP([@clé],Seuils[clé],Seuils[direction])</f>
        <v/>
      </c>
      <c r="N53">
        <f>IF([@direction]="&lt;=",[@value]&lt;=[@limite],[@value]&gt;=[@limite])</f>
        <v/>
      </c>
    </row>
    <row r="54">
      <c r="A54" t="inlineStr">
        <is>
          <t>fuel-storage-01-temperature-0004</t>
        </is>
      </c>
      <c r="B54" t="inlineStr">
        <is>
          <t>base-projetee-alpha</t>
        </is>
      </c>
      <c r="C54" t="inlineStr">
        <is>
          <t>fuel-storage-01</t>
        </is>
      </c>
      <c r="D54" t="inlineStr">
        <is>
          <t>fuel_storage</t>
        </is>
      </c>
      <c r="E54" t="inlineStr">
        <is>
          <t>temperature</t>
        </is>
      </c>
      <c r="F54" s="2" t="n">
        <v>46336.25</v>
      </c>
      <c r="G54" t="n">
        <v>28.6</v>
      </c>
      <c r="H54" t="inlineStr">
        <is>
          <t>celsius</t>
        </is>
      </c>
      <c r="I54" t="n">
        <v>4</v>
      </c>
      <c r="J54" t="inlineStr">
        <is>
          <t>airbase/batch005/fuel-storage-01/temperature/0004</t>
        </is>
      </c>
      <c r="K54">
        <f>[@asset_type]&amp;"|"&amp;[@sensor]</f>
        <v/>
      </c>
      <c r="L54">
        <f>XLOOKUP([@clé],Seuils[clé],Seuils[limite])</f>
        <v/>
      </c>
      <c r="M54">
        <f>XLOOKUP([@clé],Seuils[clé],Seuils[direction])</f>
        <v/>
      </c>
      <c r="N54">
        <f>IF([@direction]="&lt;=",[@value]&lt;=[@limite],[@value]&gt;=[@limite])</f>
        <v/>
      </c>
    </row>
    <row r="55">
      <c r="A55" t="inlineStr">
        <is>
          <t>fuel-storage-01-temperature-0005</t>
        </is>
      </c>
      <c r="B55" t="inlineStr">
        <is>
          <t>base-projetee-alpha</t>
        </is>
      </c>
      <c r="C55" t="inlineStr">
        <is>
          <t>fuel-storage-01</t>
        </is>
      </c>
      <c r="D55" t="inlineStr">
        <is>
          <t>fuel_storage</t>
        </is>
      </c>
      <c r="E55" t="inlineStr">
        <is>
          <t>temperature</t>
        </is>
      </c>
      <c r="F55" s="2" t="n">
        <v>46336.5</v>
      </c>
      <c r="G55" t="n">
        <v>29.2</v>
      </c>
      <c r="H55" t="inlineStr">
        <is>
          <t>celsius</t>
        </is>
      </c>
      <c r="I55" t="n">
        <v>5</v>
      </c>
      <c r="J55" t="inlineStr">
        <is>
          <t>airbase/batch005/fuel-storage-01/temperature/0005</t>
        </is>
      </c>
      <c r="K55">
        <f>[@asset_type]&amp;"|"&amp;[@sensor]</f>
        <v/>
      </c>
      <c r="L55">
        <f>XLOOKUP([@clé],Seuils[clé],Seuils[limite])</f>
        <v/>
      </c>
      <c r="M55">
        <f>XLOOKUP([@clé],Seuils[clé],Seuils[direction])</f>
        <v/>
      </c>
      <c r="N55">
        <f>IF([@direction]="&lt;=",[@value]&lt;=[@limite],[@value]&gt;=[@limite])</f>
        <v/>
      </c>
    </row>
    <row r="56">
      <c r="A56" t="inlineStr">
        <is>
          <t>fuel-storage-01-temperature-0006</t>
        </is>
      </c>
      <c r="B56" t="inlineStr">
        <is>
          <t>base-projetee-alpha</t>
        </is>
      </c>
      <c r="C56" t="inlineStr">
        <is>
          <t>fuel-storage-01</t>
        </is>
      </c>
      <c r="D56" t="inlineStr">
        <is>
          <t>fuel_storage</t>
        </is>
      </c>
      <c r="E56" t="inlineStr">
        <is>
          <t>temperature</t>
        </is>
      </c>
      <c r="F56" s="2" t="n">
        <v>46336.75</v>
      </c>
      <c r="G56" t="n">
        <v>29.8</v>
      </c>
      <c r="H56" t="inlineStr">
        <is>
          <t>celsius</t>
        </is>
      </c>
      <c r="I56" t="n">
        <v>6</v>
      </c>
      <c r="J56" t="inlineStr">
        <is>
          <t>airbase/batch005/fuel-storage-01/temperature/0006</t>
        </is>
      </c>
      <c r="K56">
        <f>[@asset_type]&amp;"|"&amp;[@sensor]</f>
        <v/>
      </c>
      <c r="L56">
        <f>XLOOKUP([@clé],Seuils[clé],Seuils[limite])</f>
        <v/>
      </c>
      <c r="M56">
        <f>XLOOKUP([@clé],Seuils[clé],Seuils[direction])</f>
        <v/>
      </c>
      <c r="N56">
        <f>IF([@direction]="&lt;=",[@value]&lt;=[@limite],[@value]&gt;=[@limite])</f>
        <v/>
      </c>
    </row>
    <row r="57">
      <c r="A57" t="inlineStr">
        <is>
          <t>fuel-storage-01-temperature-0007</t>
        </is>
      </c>
      <c r="B57" t="inlineStr">
        <is>
          <t>base-projetee-alpha</t>
        </is>
      </c>
      <c r="C57" t="inlineStr">
        <is>
          <t>fuel-storage-01</t>
        </is>
      </c>
      <c r="D57" t="inlineStr">
        <is>
          <t>fuel_storage</t>
        </is>
      </c>
      <c r="E57" t="inlineStr">
        <is>
          <t>temperature</t>
        </is>
      </c>
      <c r="F57" s="2" t="n">
        <v>46336.95833333334</v>
      </c>
      <c r="G57" t="n">
        <v>29.4</v>
      </c>
      <c r="H57" t="inlineStr">
        <is>
          <t>celsius</t>
        </is>
      </c>
      <c r="I57" t="n">
        <v>7</v>
      </c>
      <c r="J57" t="inlineStr">
        <is>
          <t>airbase/batch005/fuel-storage-01/temperature/0007</t>
        </is>
      </c>
      <c r="K57">
        <f>[@asset_type]&amp;"|"&amp;[@sensor]</f>
        <v/>
      </c>
      <c r="L57">
        <f>XLOOKUP([@clé],Seuils[clé],Seuils[limite])</f>
        <v/>
      </c>
      <c r="M57">
        <f>XLOOKUP([@clé],Seuils[clé],Seuils[direction])</f>
        <v/>
      </c>
      <c r="N57">
        <f>IF([@direction]="&lt;=",[@value]&lt;=[@limite],[@value]&gt;=[@limite])</f>
        <v/>
      </c>
    </row>
    <row r="58">
      <c r="A58" t="inlineStr">
        <is>
          <t>fuel-storage-01-temperature-0008</t>
        </is>
      </c>
      <c r="B58" t="inlineStr">
        <is>
          <t>base-projetee-alpha</t>
        </is>
      </c>
      <c r="C58" t="inlineStr">
        <is>
          <t>fuel-storage-01</t>
        </is>
      </c>
      <c r="D58" t="inlineStr">
        <is>
          <t>fuel_storage</t>
        </is>
      </c>
      <c r="E58" t="inlineStr">
        <is>
          <t>temperature</t>
        </is>
      </c>
      <c r="F58" s="2" t="n">
        <v>46337.25</v>
      </c>
      <c r="G58" t="n">
        <v>28.8</v>
      </c>
      <c r="H58" t="inlineStr">
        <is>
          <t>celsius</t>
        </is>
      </c>
      <c r="I58" t="n">
        <v>8</v>
      </c>
      <c r="J58" t="inlineStr">
        <is>
          <t>airbase/batch005/fuel-storage-01/temperature/0008</t>
        </is>
      </c>
      <c r="K58">
        <f>[@asset_type]&amp;"|"&amp;[@sensor]</f>
        <v/>
      </c>
      <c r="L58">
        <f>XLOOKUP([@clé],Seuils[clé],Seuils[limite])</f>
        <v/>
      </c>
      <c r="M58">
        <f>XLOOKUP([@clé],Seuils[clé],Seuils[direction])</f>
        <v/>
      </c>
      <c r="N58">
        <f>IF([@direction]="&lt;=",[@value]&lt;=[@limite],[@value]&gt;=[@limite])</f>
        <v/>
      </c>
    </row>
    <row r="59">
      <c r="A59" t="inlineStr">
        <is>
          <t>fuel-storage-01-temperature-0009</t>
        </is>
      </c>
      <c r="B59" t="inlineStr">
        <is>
          <t>base-projetee-alpha</t>
        </is>
      </c>
      <c r="C59" t="inlineStr">
        <is>
          <t>fuel-storage-01</t>
        </is>
      </c>
      <c r="D59" t="inlineStr">
        <is>
          <t>fuel_storage</t>
        </is>
      </c>
      <c r="E59" t="inlineStr">
        <is>
          <t>temperature</t>
        </is>
      </c>
      <c r="F59" s="2" t="n">
        <v>46337.5</v>
      </c>
      <c r="G59" t="n">
        <v>29.4</v>
      </c>
      <c r="H59" t="inlineStr">
        <is>
          <t>celsius</t>
        </is>
      </c>
      <c r="I59" t="n">
        <v>9</v>
      </c>
      <c r="J59" t="inlineStr">
        <is>
          <t>airbase/batch005/fuel-storage-01/temperature/0009</t>
        </is>
      </c>
      <c r="K59">
        <f>[@asset_type]&amp;"|"&amp;[@sensor]</f>
        <v/>
      </c>
      <c r="L59">
        <f>XLOOKUP([@clé],Seuils[clé],Seuils[limite])</f>
        <v/>
      </c>
      <c r="M59">
        <f>XLOOKUP([@clé],Seuils[clé],Seuils[direction])</f>
        <v/>
      </c>
      <c r="N59">
        <f>IF([@direction]="&lt;=",[@value]&lt;=[@limite],[@value]&gt;=[@limite])</f>
        <v/>
      </c>
    </row>
    <row r="60">
      <c r="A60" t="inlineStr">
        <is>
          <t>fuel-storage-01-temperature-0010</t>
        </is>
      </c>
      <c r="B60" t="inlineStr">
        <is>
          <t>base-projetee-alpha</t>
        </is>
      </c>
      <c r="C60" t="inlineStr">
        <is>
          <t>fuel-storage-01</t>
        </is>
      </c>
      <c r="D60" t="inlineStr">
        <is>
          <t>fuel_storage</t>
        </is>
      </c>
      <c r="E60" t="inlineStr">
        <is>
          <t>temperature</t>
        </is>
      </c>
      <c r="F60" s="2" t="n">
        <v>46337.75</v>
      </c>
      <c r="G60" t="n">
        <v>30</v>
      </c>
      <c r="H60" t="inlineStr">
        <is>
          <t>celsius</t>
        </is>
      </c>
      <c r="I60" t="n">
        <v>10</v>
      </c>
      <c r="J60" t="inlineStr">
        <is>
          <t>airbase/batch005/fuel-storage-01/temperature/0010</t>
        </is>
      </c>
      <c r="K60">
        <f>[@asset_type]&amp;"|"&amp;[@sensor]</f>
        <v/>
      </c>
      <c r="L60">
        <f>XLOOKUP([@clé],Seuils[clé],Seuils[limite])</f>
        <v/>
      </c>
      <c r="M60">
        <f>XLOOKUP([@clé],Seuils[clé],Seuils[direction])</f>
        <v/>
      </c>
      <c r="N60">
        <f>IF([@direction]="&lt;=",[@value]&lt;=[@limite],[@value]&gt;=[@limite])</f>
        <v/>
      </c>
    </row>
    <row r="61">
      <c r="A61" t="inlineStr">
        <is>
          <t>fuel-storage-01-temperature-0011</t>
        </is>
      </c>
      <c r="B61" t="inlineStr">
        <is>
          <t>base-projetee-alpha</t>
        </is>
      </c>
      <c r="C61" t="inlineStr">
        <is>
          <t>fuel-storage-01</t>
        </is>
      </c>
      <c r="D61" t="inlineStr">
        <is>
          <t>fuel_storage</t>
        </is>
      </c>
      <c r="E61" t="inlineStr">
        <is>
          <t>temperature</t>
        </is>
      </c>
      <c r="F61" s="2" t="n">
        <v>46337.95833333334</v>
      </c>
      <c r="G61" t="n">
        <v>29.6</v>
      </c>
      <c r="H61" t="inlineStr">
        <is>
          <t>celsius</t>
        </is>
      </c>
      <c r="I61" t="n">
        <v>11</v>
      </c>
      <c r="J61" t="inlineStr">
        <is>
          <t>airbase/batch005/fuel-storage-01/temperature/0011</t>
        </is>
      </c>
      <c r="K61">
        <f>[@asset_type]&amp;"|"&amp;[@sensor]</f>
        <v/>
      </c>
      <c r="L61">
        <f>XLOOKUP([@clé],Seuils[clé],Seuils[limite])</f>
        <v/>
      </c>
      <c r="M61">
        <f>XLOOKUP([@clé],Seuils[clé],Seuils[direction])</f>
        <v/>
      </c>
      <c r="N61">
        <f>IF([@direction]="&lt;=",[@value]&lt;=[@limite],[@value]&gt;=[@limite])</f>
        <v/>
      </c>
    </row>
    <row r="62">
      <c r="A62" t="inlineStr">
        <is>
          <t>it-room-01-humidity-0000</t>
        </is>
      </c>
      <c r="B62" t="inlineStr">
        <is>
          <t>base-projetee-alpha</t>
        </is>
      </c>
      <c r="C62" t="inlineStr">
        <is>
          <t>it-room-01</t>
        </is>
      </c>
      <c r="D62" t="inlineStr">
        <is>
          <t>tactical_it</t>
        </is>
      </c>
      <c r="E62" t="inlineStr">
        <is>
          <t>humidity</t>
        </is>
      </c>
      <c r="F62" s="2" t="n">
        <v>46335.25</v>
      </c>
      <c r="G62" t="n">
        <v>46</v>
      </c>
      <c r="H62" t="inlineStr">
        <is>
          <t>percent</t>
        </is>
      </c>
      <c r="I62" t="n">
        <v>0</v>
      </c>
      <c r="J62" t="inlineStr">
        <is>
          <t>airbase/batch005/it-room-01/humidity/0000</t>
        </is>
      </c>
      <c r="K62">
        <f>[@asset_type]&amp;"|"&amp;[@sensor]</f>
        <v/>
      </c>
      <c r="L62">
        <f>XLOOKUP([@clé],Seuils[clé],Seuils[limite])</f>
        <v/>
      </c>
      <c r="M62">
        <f>XLOOKUP([@clé],Seuils[clé],Seuils[direction])</f>
        <v/>
      </c>
      <c r="N62">
        <f>IF([@direction]="&lt;=",[@value]&lt;=[@limite],[@value]&gt;=[@limite])</f>
        <v/>
      </c>
    </row>
    <row r="63">
      <c r="A63" t="inlineStr">
        <is>
          <t>it-room-01-humidity-0001</t>
        </is>
      </c>
      <c r="B63" t="inlineStr">
        <is>
          <t>base-projetee-alpha</t>
        </is>
      </c>
      <c r="C63" t="inlineStr">
        <is>
          <t>it-room-01</t>
        </is>
      </c>
      <c r="D63" t="inlineStr">
        <is>
          <t>tactical_it</t>
        </is>
      </c>
      <c r="E63" t="inlineStr">
        <is>
          <t>humidity</t>
        </is>
      </c>
      <c r="F63" s="2" t="n">
        <v>46335.5</v>
      </c>
      <c r="G63" t="n">
        <v>48</v>
      </c>
      <c r="H63" t="inlineStr">
        <is>
          <t>percent</t>
        </is>
      </c>
      <c r="I63" t="n">
        <v>1</v>
      </c>
      <c r="J63" t="inlineStr">
        <is>
          <t>airbase/batch005/it-room-01/humidity/0001</t>
        </is>
      </c>
      <c r="K63">
        <f>[@asset_type]&amp;"|"&amp;[@sensor]</f>
        <v/>
      </c>
      <c r="L63">
        <f>XLOOKUP([@clé],Seuils[clé],Seuils[limite])</f>
        <v/>
      </c>
      <c r="M63">
        <f>XLOOKUP([@clé],Seuils[clé],Seuils[direction])</f>
        <v/>
      </c>
      <c r="N63">
        <f>IF([@direction]="&lt;=",[@value]&lt;=[@limite],[@value]&gt;=[@limite])</f>
        <v/>
      </c>
    </row>
    <row r="64">
      <c r="A64" t="inlineStr">
        <is>
          <t>it-room-01-humidity-0002</t>
        </is>
      </c>
      <c r="B64" t="inlineStr">
        <is>
          <t>base-projetee-alpha</t>
        </is>
      </c>
      <c r="C64" t="inlineStr">
        <is>
          <t>it-room-01</t>
        </is>
      </c>
      <c r="D64" t="inlineStr">
        <is>
          <t>tactical_it</t>
        </is>
      </c>
      <c r="E64" t="inlineStr">
        <is>
          <t>humidity</t>
        </is>
      </c>
      <c r="F64" s="2" t="n">
        <v>46335.75</v>
      </c>
      <c r="G64" t="n">
        <v>50</v>
      </c>
      <c r="H64" t="inlineStr">
        <is>
          <t>percent</t>
        </is>
      </c>
      <c r="I64" t="n">
        <v>2</v>
      </c>
      <c r="J64" t="inlineStr">
        <is>
          <t>airbase/batch005/it-room-01/humidity/0002</t>
        </is>
      </c>
      <c r="K64">
        <f>[@asset_type]&amp;"|"&amp;[@sensor]</f>
        <v/>
      </c>
      <c r="L64">
        <f>XLOOKUP([@clé],Seuils[clé],Seuils[limite])</f>
        <v/>
      </c>
      <c r="M64">
        <f>XLOOKUP([@clé],Seuils[clé],Seuils[direction])</f>
        <v/>
      </c>
      <c r="N64">
        <f>IF([@direction]="&lt;=",[@value]&lt;=[@limite],[@value]&gt;=[@limite])</f>
        <v/>
      </c>
    </row>
    <row r="65">
      <c r="A65" t="inlineStr">
        <is>
          <t>it-room-01-humidity-0003</t>
        </is>
      </c>
      <c r="B65" t="inlineStr">
        <is>
          <t>base-projetee-alpha</t>
        </is>
      </c>
      <c r="C65" t="inlineStr">
        <is>
          <t>it-room-01</t>
        </is>
      </c>
      <c r="D65" t="inlineStr">
        <is>
          <t>tactical_it</t>
        </is>
      </c>
      <c r="E65" t="inlineStr">
        <is>
          <t>humidity</t>
        </is>
      </c>
      <c r="F65" s="2" t="n">
        <v>46335.95833333334</v>
      </c>
      <c r="G65" t="n">
        <v>47</v>
      </c>
      <c r="H65" t="inlineStr">
        <is>
          <t>percent</t>
        </is>
      </c>
      <c r="I65" t="n">
        <v>3</v>
      </c>
      <c r="J65" t="inlineStr">
        <is>
          <t>airbase/batch005/it-room-01/humidity/0003</t>
        </is>
      </c>
      <c r="K65">
        <f>[@asset_type]&amp;"|"&amp;[@sensor]</f>
        <v/>
      </c>
      <c r="L65">
        <f>XLOOKUP([@clé],Seuils[clé],Seuils[limite])</f>
        <v/>
      </c>
      <c r="M65">
        <f>XLOOKUP([@clé],Seuils[clé],Seuils[direction])</f>
        <v/>
      </c>
      <c r="N65">
        <f>IF([@direction]="&lt;=",[@value]&lt;=[@limite],[@value]&gt;=[@limite])</f>
        <v/>
      </c>
    </row>
    <row r="66">
      <c r="A66" t="inlineStr">
        <is>
          <t>it-room-01-humidity-0004</t>
        </is>
      </c>
      <c r="B66" t="inlineStr">
        <is>
          <t>base-projetee-alpha</t>
        </is>
      </c>
      <c r="C66" t="inlineStr">
        <is>
          <t>it-room-01</t>
        </is>
      </c>
      <c r="D66" t="inlineStr">
        <is>
          <t>tactical_it</t>
        </is>
      </c>
      <c r="E66" t="inlineStr">
        <is>
          <t>humidity</t>
        </is>
      </c>
      <c r="F66" s="2" t="n">
        <v>46336.25</v>
      </c>
      <c r="G66" t="n">
        <v>46</v>
      </c>
      <c r="H66" t="inlineStr">
        <is>
          <t>percent</t>
        </is>
      </c>
      <c r="I66" t="n">
        <v>4</v>
      </c>
      <c r="J66" t="inlineStr">
        <is>
          <t>airbase/batch005/it-room-01/humidity/0004</t>
        </is>
      </c>
      <c r="K66">
        <f>[@asset_type]&amp;"|"&amp;[@sensor]</f>
        <v/>
      </c>
      <c r="L66">
        <f>XLOOKUP([@clé],Seuils[clé],Seuils[limite])</f>
        <v/>
      </c>
      <c r="M66">
        <f>XLOOKUP([@clé],Seuils[clé],Seuils[direction])</f>
        <v/>
      </c>
      <c r="N66">
        <f>IF([@direction]="&lt;=",[@value]&lt;=[@limite],[@value]&gt;=[@limite])</f>
        <v/>
      </c>
    </row>
    <row r="67">
      <c r="A67" t="inlineStr">
        <is>
          <t>it-room-01-humidity-0005</t>
        </is>
      </c>
      <c r="B67" t="inlineStr">
        <is>
          <t>base-projetee-alpha</t>
        </is>
      </c>
      <c r="C67" t="inlineStr">
        <is>
          <t>it-room-01</t>
        </is>
      </c>
      <c r="D67" t="inlineStr">
        <is>
          <t>tactical_it</t>
        </is>
      </c>
      <c r="E67" t="inlineStr">
        <is>
          <t>humidity</t>
        </is>
      </c>
      <c r="F67" s="2" t="n">
        <v>46336.5</v>
      </c>
      <c r="G67" t="n">
        <v>49</v>
      </c>
      <c r="H67" t="inlineStr">
        <is>
          <t>percent</t>
        </is>
      </c>
      <c r="I67" t="n">
        <v>5</v>
      </c>
      <c r="J67" t="inlineStr">
        <is>
          <t>airbase/batch005/it-room-01/humidity/0005</t>
        </is>
      </c>
      <c r="K67">
        <f>[@asset_type]&amp;"|"&amp;[@sensor]</f>
        <v/>
      </c>
      <c r="L67">
        <f>XLOOKUP([@clé],Seuils[clé],Seuils[limite])</f>
        <v/>
      </c>
      <c r="M67">
        <f>XLOOKUP([@clé],Seuils[clé],Seuils[direction])</f>
        <v/>
      </c>
      <c r="N67">
        <f>IF([@direction]="&lt;=",[@value]&lt;=[@limite],[@value]&gt;=[@limite])</f>
        <v/>
      </c>
    </row>
    <row r="68">
      <c r="A68" t="inlineStr">
        <is>
          <t>it-room-01-humidity-0006</t>
        </is>
      </c>
      <c r="B68" t="inlineStr">
        <is>
          <t>base-projetee-alpha</t>
        </is>
      </c>
      <c r="C68" t="inlineStr">
        <is>
          <t>it-room-01</t>
        </is>
      </c>
      <c r="D68" t="inlineStr">
        <is>
          <t>tactical_it</t>
        </is>
      </c>
      <c r="E68" t="inlineStr">
        <is>
          <t>humidity</t>
        </is>
      </c>
      <c r="F68" s="2" t="n">
        <v>46336.75</v>
      </c>
      <c r="G68" t="n">
        <v>51</v>
      </c>
      <c r="H68" t="inlineStr">
        <is>
          <t>percent</t>
        </is>
      </c>
      <c r="I68" t="n">
        <v>6</v>
      </c>
      <c r="J68" t="inlineStr">
        <is>
          <t>airbase/batch005/it-room-01/humidity/0006</t>
        </is>
      </c>
      <c r="K68">
        <f>[@asset_type]&amp;"|"&amp;[@sensor]</f>
        <v/>
      </c>
      <c r="L68">
        <f>XLOOKUP([@clé],Seuils[clé],Seuils[limite])</f>
        <v/>
      </c>
      <c r="M68">
        <f>XLOOKUP([@clé],Seuils[clé],Seuils[direction])</f>
        <v/>
      </c>
      <c r="N68">
        <f>IF([@direction]="&lt;=",[@value]&lt;=[@limite],[@value]&gt;=[@limite])</f>
        <v/>
      </c>
    </row>
    <row r="69">
      <c r="A69" t="inlineStr">
        <is>
          <t>it-room-01-humidity-0007</t>
        </is>
      </c>
      <c r="B69" t="inlineStr">
        <is>
          <t>base-projetee-alpha</t>
        </is>
      </c>
      <c r="C69" t="inlineStr">
        <is>
          <t>it-room-01</t>
        </is>
      </c>
      <c r="D69" t="inlineStr">
        <is>
          <t>tactical_it</t>
        </is>
      </c>
      <c r="E69" t="inlineStr">
        <is>
          <t>humidity</t>
        </is>
      </c>
      <c r="F69" s="2" t="n">
        <v>46336.95833333334</v>
      </c>
      <c r="G69" t="n">
        <v>48</v>
      </c>
      <c r="H69" t="inlineStr">
        <is>
          <t>percent</t>
        </is>
      </c>
      <c r="I69" t="n">
        <v>7</v>
      </c>
      <c r="J69" t="inlineStr">
        <is>
          <t>airbase/batch005/it-room-01/humidity/0007</t>
        </is>
      </c>
      <c r="K69">
        <f>[@asset_type]&amp;"|"&amp;[@sensor]</f>
        <v/>
      </c>
      <c r="L69">
        <f>XLOOKUP([@clé],Seuils[clé],Seuils[limite])</f>
        <v/>
      </c>
      <c r="M69">
        <f>XLOOKUP([@clé],Seuils[clé],Seuils[direction])</f>
        <v/>
      </c>
      <c r="N69">
        <f>IF([@direction]="&lt;=",[@value]&lt;=[@limite],[@value]&gt;=[@limite])</f>
        <v/>
      </c>
    </row>
    <row r="70">
      <c r="A70" t="inlineStr">
        <is>
          <t>it-room-01-humidity-0008</t>
        </is>
      </c>
      <c r="B70" t="inlineStr">
        <is>
          <t>base-projetee-alpha</t>
        </is>
      </c>
      <c r="C70" t="inlineStr">
        <is>
          <t>it-room-01</t>
        </is>
      </c>
      <c r="D70" t="inlineStr">
        <is>
          <t>tactical_it</t>
        </is>
      </c>
      <c r="E70" t="inlineStr">
        <is>
          <t>humidity</t>
        </is>
      </c>
      <c r="F70" s="2" t="n">
        <v>46337.25</v>
      </c>
      <c r="G70" t="n">
        <v>47</v>
      </c>
      <c r="H70" t="inlineStr">
        <is>
          <t>percent</t>
        </is>
      </c>
      <c r="I70" t="n">
        <v>8</v>
      </c>
      <c r="J70" t="inlineStr">
        <is>
          <t>airbase/batch005/it-room-01/humidity/0008</t>
        </is>
      </c>
      <c r="K70">
        <f>[@asset_type]&amp;"|"&amp;[@sensor]</f>
        <v/>
      </c>
      <c r="L70">
        <f>XLOOKUP([@clé],Seuils[clé],Seuils[limite])</f>
        <v/>
      </c>
      <c r="M70">
        <f>XLOOKUP([@clé],Seuils[clé],Seuils[direction])</f>
        <v/>
      </c>
      <c r="N70">
        <f>IF([@direction]="&lt;=",[@value]&lt;=[@limite],[@value]&gt;=[@limite])</f>
        <v/>
      </c>
    </row>
    <row r="71">
      <c r="A71" t="inlineStr">
        <is>
          <t>it-room-01-humidity-0009</t>
        </is>
      </c>
      <c r="B71" t="inlineStr">
        <is>
          <t>base-projetee-alpha</t>
        </is>
      </c>
      <c r="C71" t="inlineStr">
        <is>
          <t>it-room-01</t>
        </is>
      </c>
      <c r="D71" t="inlineStr">
        <is>
          <t>tactical_it</t>
        </is>
      </c>
      <c r="E71" t="inlineStr">
        <is>
          <t>humidity</t>
        </is>
      </c>
      <c r="F71" s="2" t="n">
        <v>46337.5</v>
      </c>
      <c r="G71" t="n">
        <v>49</v>
      </c>
      <c r="H71" t="inlineStr">
        <is>
          <t>percent</t>
        </is>
      </c>
      <c r="I71" t="n">
        <v>9</v>
      </c>
      <c r="J71" t="inlineStr">
        <is>
          <t>airbase/batch005/it-room-01/humidity/0009</t>
        </is>
      </c>
      <c r="K71">
        <f>[@asset_type]&amp;"|"&amp;[@sensor]</f>
        <v/>
      </c>
      <c r="L71">
        <f>XLOOKUP([@clé],Seuils[clé],Seuils[limite])</f>
        <v/>
      </c>
      <c r="M71">
        <f>XLOOKUP([@clé],Seuils[clé],Seuils[direction])</f>
        <v/>
      </c>
      <c r="N71">
        <f>IF([@direction]="&lt;=",[@value]&lt;=[@limite],[@value]&gt;=[@limite])</f>
        <v/>
      </c>
    </row>
    <row r="72">
      <c r="A72" t="inlineStr">
        <is>
          <t>it-room-01-humidity-0010</t>
        </is>
      </c>
      <c r="B72" t="inlineStr">
        <is>
          <t>base-projetee-alpha</t>
        </is>
      </c>
      <c r="C72" t="inlineStr">
        <is>
          <t>it-room-01</t>
        </is>
      </c>
      <c r="D72" t="inlineStr">
        <is>
          <t>tactical_it</t>
        </is>
      </c>
      <c r="E72" t="inlineStr">
        <is>
          <t>humidity</t>
        </is>
      </c>
      <c r="F72" s="2" t="n">
        <v>46337.75</v>
      </c>
      <c r="G72" t="n">
        <v>52</v>
      </c>
      <c r="H72" t="inlineStr">
        <is>
          <t>percent</t>
        </is>
      </c>
      <c r="I72" t="n">
        <v>10</v>
      </c>
      <c r="J72" t="inlineStr">
        <is>
          <t>airbase/batch005/it-room-01/humidity/0010</t>
        </is>
      </c>
      <c r="K72">
        <f>[@asset_type]&amp;"|"&amp;[@sensor]</f>
        <v/>
      </c>
      <c r="L72">
        <f>XLOOKUP([@clé],Seuils[clé],Seuils[limite])</f>
        <v/>
      </c>
      <c r="M72">
        <f>XLOOKUP([@clé],Seuils[clé],Seuils[direction])</f>
        <v/>
      </c>
      <c r="N72">
        <f>IF([@direction]="&lt;=",[@value]&lt;=[@limite],[@value]&gt;=[@limite])</f>
        <v/>
      </c>
    </row>
    <row r="73">
      <c r="A73" t="inlineStr">
        <is>
          <t>it-room-01-humidity-0011</t>
        </is>
      </c>
      <c r="B73" t="inlineStr">
        <is>
          <t>base-projetee-alpha</t>
        </is>
      </c>
      <c r="C73" t="inlineStr">
        <is>
          <t>it-room-01</t>
        </is>
      </c>
      <c r="D73" t="inlineStr">
        <is>
          <t>tactical_it</t>
        </is>
      </c>
      <c r="E73" t="inlineStr">
        <is>
          <t>humidity</t>
        </is>
      </c>
      <c r="F73" s="2" t="n">
        <v>46337.95833333334</v>
      </c>
      <c r="G73" t="n">
        <v>48</v>
      </c>
      <c r="H73" t="inlineStr">
        <is>
          <t>percent</t>
        </is>
      </c>
      <c r="I73" t="n">
        <v>11</v>
      </c>
      <c r="J73" t="inlineStr">
        <is>
          <t>airbase/batch005/it-room-01/humidity/0011</t>
        </is>
      </c>
      <c r="K73">
        <f>[@asset_type]&amp;"|"&amp;[@sensor]</f>
        <v/>
      </c>
      <c r="L73">
        <f>XLOOKUP([@clé],Seuils[clé],Seuils[limite])</f>
        <v/>
      </c>
      <c r="M73">
        <f>XLOOKUP([@clé],Seuils[clé],Seuils[direction])</f>
        <v/>
      </c>
      <c r="N73">
        <f>IF([@direction]="&lt;=",[@value]&lt;=[@limite],[@value]&gt;=[@limite])</f>
        <v/>
      </c>
    </row>
    <row r="74">
      <c r="A74" t="inlineStr">
        <is>
          <t>it-room-01-temperature-0000</t>
        </is>
      </c>
      <c r="B74" t="inlineStr">
        <is>
          <t>base-projetee-alpha</t>
        </is>
      </c>
      <c r="C74" t="inlineStr">
        <is>
          <t>it-room-01</t>
        </is>
      </c>
      <c r="D74" t="inlineStr">
        <is>
          <t>tactical_it</t>
        </is>
      </c>
      <c r="E74" t="inlineStr">
        <is>
          <t>temperature</t>
        </is>
      </c>
      <c r="F74" s="2" t="n">
        <v>46335.25</v>
      </c>
      <c r="G74" t="n">
        <v>31</v>
      </c>
      <c r="H74" t="inlineStr">
        <is>
          <t>celsius</t>
        </is>
      </c>
      <c r="I74" t="n">
        <v>0</v>
      </c>
      <c r="J74" t="inlineStr">
        <is>
          <t>airbase/batch005/it-room-01/temperature/0000</t>
        </is>
      </c>
      <c r="K74">
        <f>[@asset_type]&amp;"|"&amp;[@sensor]</f>
        <v/>
      </c>
      <c r="L74">
        <f>XLOOKUP([@clé],Seuils[clé],Seuils[limite])</f>
        <v/>
      </c>
      <c r="M74">
        <f>XLOOKUP([@clé],Seuils[clé],Seuils[direction])</f>
        <v/>
      </c>
      <c r="N74">
        <f>IF([@direction]="&lt;=",[@value]&lt;=[@limite],[@value]&gt;=[@limite])</f>
        <v/>
      </c>
    </row>
    <row r="75">
      <c r="A75" t="inlineStr">
        <is>
          <t>it-room-01-temperature-0001</t>
        </is>
      </c>
      <c r="B75" t="inlineStr">
        <is>
          <t>base-projetee-alpha</t>
        </is>
      </c>
      <c r="C75" t="inlineStr">
        <is>
          <t>it-room-01</t>
        </is>
      </c>
      <c r="D75" t="inlineStr">
        <is>
          <t>tactical_it</t>
        </is>
      </c>
      <c r="E75" t="inlineStr">
        <is>
          <t>temperature</t>
        </is>
      </c>
      <c r="F75" s="2" t="n">
        <v>46335.5</v>
      </c>
      <c r="G75" t="n">
        <v>32</v>
      </c>
      <c r="H75" t="inlineStr">
        <is>
          <t>celsius</t>
        </is>
      </c>
      <c r="I75" t="n">
        <v>1</v>
      </c>
      <c r="J75" t="inlineStr">
        <is>
          <t>airbase/batch005/it-room-01/temperature/0001</t>
        </is>
      </c>
      <c r="K75">
        <f>[@asset_type]&amp;"|"&amp;[@sensor]</f>
        <v/>
      </c>
      <c r="L75">
        <f>XLOOKUP([@clé],Seuils[clé],Seuils[limite])</f>
        <v/>
      </c>
      <c r="M75">
        <f>XLOOKUP([@clé],Seuils[clé],Seuils[direction])</f>
        <v/>
      </c>
      <c r="N75">
        <f>IF([@direction]="&lt;=",[@value]&lt;=[@limite],[@value]&gt;=[@limite])</f>
        <v/>
      </c>
    </row>
    <row r="76">
      <c r="A76" t="inlineStr">
        <is>
          <t>it-room-01-temperature-0002</t>
        </is>
      </c>
      <c r="B76" t="inlineStr">
        <is>
          <t>base-projetee-alpha</t>
        </is>
      </c>
      <c r="C76" t="inlineStr">
        <is>
          <t>it-room-01</t>
        </is>
      </c>
      <c r="D76" t="inlineStr">
        <is>
          <t>tactical_it</t>
        </is>
      </c>
      <c r="E76" t="inlineStr">
        <is>
          <t>temperature</t>
        </is>
      </c>
      <c r="F76" s="2" t="n">
        <v>46335.75</v>
      </c>
      <c r="G76" t="n">
        <v>32.6</v>
      </c>
      <c r="H76" t="inlineStr">
        <is>
          <t>celsius</t>
        </is>
      </c>
      <c r="I76" t="n">
        <v>2</v>
      </c>
      <c r="J76" t="inlineStr">
        <is>
          <t>airbase/batch005/it-room-01/temperature/0002</t>
        </is>
      </c>
      <c r="K76">
        <f>[@asset_type]&amp;"|"&amp;[@sensor]</f>
        <v/>
      </c>
      <c r="L76">
        <f>XLOOKUP([@clé],Seuils[clé],Seuils[limite])</f>
        <v/>
      </c>
      <c r="M76">
        <f>XLOOKUP([@clé],Seuils[clé],Seuils[direction])</f>
        <v/>
      </c>
      <c r="N76">
        <f>IF([@direction]="&lt;=",[@value]&lt;=[@limite],[@value]&gt;=[@limite])</f>
        <v/>
      </c>
    </row>
    <row r="77">
      <c r="A77" t="inlineStr">
        <is>
          <t>it-room-01-temperature-0003</t>
        </is>
      </c>
      <c r="B77" t="inlineStr">
        <is>
          <t>base-projetee-alpha</t>
        </is>
      </c>
      <c r="C77" t="inlineStr">
        <is>
          <t>it-room-01</t>
        </is>
      </c>
      <c r="D77" t="inlineStr">
        <is>
          <t>tactical_it</t>
        </is>
      </c>
      <c r="E77" t="inlineStr">
        <is>
          <t>temperature</t>
        </is>
      </c>
      <c r="F77" s="2" t="n">
        <v>46335.95833333334</v>
      </c>
      <c r="G77" t="n">
        <v>31.8</v>
      </c>
      <c r="H77" t="inlineStr">
        <is>
          <t>celsius</t>
        </is>
      </c>
      <c r="I77" t="n">
        <v>3</v>
      </c>
      <c r="J77" t="inlineStr">
        <is>
          <t>airbase/batch005/it-room-01/temperature/0003</t>
        </is>
      </c>
      <c r="K77">
        <f>[@asset_type]&amp;"|"&amp;[@sensor]</f>
        <v/>
      </c>
      <c r="L77">
        <f>XLOOKUP([@clé],Seuils[clé],Seuils[limite])</f>
        <v/>
      </c>
      <c r="M77">
        <f>XLOOKUP([@clé],Seuils[clé],Seuils[direction])</f>
        <v/>
      </c>
      <c r="N77">
        <f>IF([@direction]="&lt;=",[@value]&lt;=[@limite],[@value]&gt;=[@limite])</f>
        <v/>
      </c>
    </row>
    <row r="78">
      <c r="A78" t="inlineStr">
        <is>
          <t>it-room-01-temperature-0004</t>
        </is>
      </c>
      <c r="B78" t="inlineStr">
        <is>
          <t>base-projetee-alpha</t>
        </is>
      </c>
      <c r="C78" t="inlineStr">
        <is>
          <t>it-room-01</t>
        </is>
      </c>
      <c r="D78" t="inlineStr">
        <is>
          <t>tactical_it</t>
        </is>
      </c>
      <c r="E78" t="inlineStr">
        <is>
          <t>temperature</t>
        </is>
      </c>
      <c r="F78" s="2" t="n">
        <v>46336.25</v>
      </c>
      <c r="G78" t="n">
        <v>31.2</v>
      </c>
      <c r="H78" t="inlineStr">
        <is>
          <t>celsius</t>
        </is>
      </c>
      <c r="I78" t="n">
        <v>4</v>
      </c>
      <c r="J78" t="inlineStr">
        <is>
          <t>airbase/batch005/it-room-01/temperature/0004</t>
        </is>
      </c>
      <c r="K78">
        <f>[@asset_type]&amp;"|"&amp;[@sensor]</f>
        <v/>
      </c>
      <c r="L78">
        <f>XLOOKUP([@clé],Seuils[clé],Seuils[limite])</f>
        <v/>
      </c>
      <c r="M78">
        <f>XLOOKUP([@clé],Seuils[clé],Seuils[direction])</f>
        <v/>
      </c>
      <c r="N78">
        <f>IF([@direction]="&lt;=",[@value]&lt;=[@limite],[@value]&gt;=[@limite])</f>
        <v/>
      </c>
    </row>
    <row r="79">
      <c r="A79" t="inlineStr">
        <is>
          <t>it-room-01-temperature-0005</t>
        </is>
      </c>
      <c r="B79" t="inlineStr">
        <is>
          <t>base-projetee-alpha</t>
        </is>
      </c>
      <c r="C79" t="inlineStr">
        <is>
          <t>it-room-01</t>
        </is>
      </c>
      <c r="D79" t="inlineStr">
        <is>
          <t>tactical_it</t>
        </is>
      </c>
      <c r="E79" t="inlineStr">
        <is>
          <t>temperature</t>
        </is>
      </c>
      <c r="F79" s="2" t="n">
        <v>46336.5</v>
      </c>
      <c r="G79" t="n">
        <v>32.2</v>
      </c>
      <c r="H79" t="inlineStr">
        <is>
          <t>celsius</t>
        </is>
      </c>
      <c r="I79" t="n">
        <v>5</v>
      </c>
      <c r="J79" t="inlineStr">
        <is>
          <t>airbase/batch005/it-room-01/temperature/0005</t>
        </is>
      </c>
      <c r="K79">
        <f>[@asset_type]&amp;"|"&amp;[@sensor]</f>
        <v/>
      </c>
      <c r="L79">
        <f>XLOOKUP([@clé],Seuils[clé],Seuils[limite])</f>
        <v/>
      </c>
      <c r="M79">
        <f>XLOOKUP([@clé],Seuils[clé],Seuils[direction])</f>
        <v/>
      </c>
      <c r="N79">
        <f>IF([@direction]="&lt;=",[@value]&lt;=[@limite],[@value]&gt;=[@limite])</f>
        <v/>
      </c>
    </row>
    <row r="80">
      <c r="A80" t="inlineStr">
        <is>
          <t>it-room-01-temperature-0006</t>
        </is>
      </c>
      <c r="B80" t="inlineStr">
        <is>
          <t>base-projetee-alpha</t>
        </is>
      </c>
      <c r="C80" t="inlineStr">
        <is>
          <t>it-room-01</t>
        </is>
      </c>
      <c r="D80" t="inlineStr">
        <is>
          <t>tactical_it</t>
        </is>
      </c>
      <c r="E80" t="inlineStr">
        <is>
          <t>temperature</t>
        </is>
      </c>
      <c r="F80" s="2" t="n">
        <v>46336.75</v>
      </c>
      <c r="G80" t="n">
        <v>32.8</v>
      </c>
      <c r="H80" t="inlineStr">
        <is>
          <t>celsius</t>
        </is>
      </c>
      <c r="I80" t="n">
        <v>6</v>
      </c>
      <c r="J80" t="inlineStr">
        <is>
          <t>airbase/batch005/it-room-01/temperature/0006</t>
        </is>
      </c>
      <c r="K80">
        <f>[@asset_type]&amp;"|"&amp;[@sensor]</f>
        <v/>
      </c>
      <c r="L80">
        <f>XLOOKUP([@clé],Seuils[clé],Seuils[limite])</f>
        <v/>
      </c>
      <c r="M80">
        <f>XLOOKUP([@clé],Seuils[clé],Seuils[direction])</f>
        <v/>
      </c>
      <c r="N80">
        <f>IF([@direction]="&lt;=",[@value]&lt;=[@limite],[@value]&gt;=[@limite])</f>
        <v/>
      </c>
    </row>
    <row r="81">
      <c r="A81" t="inlineStr">
        <is>
          <t>it-room-01-temperature-0007</t>
        </is>
      </c>
      <c r="B81" t="inlineStr">
        <is>
          <t>base-projetee-alpha</t>
        </is>
      </c>
      <c r="C81" t="inlineStr">
        <is>
          <t>it-room-01</t>
        </is>
      </c>
      <c r="D81" t="inlineStr">
        <is>
          <t>tactical_it</t>
        </is>
      </c>
      <c r="E81" t="inlineStr">
        <is>
          <t>temperature</t>
        </is>
      </c>
      <c r="F81" s="2" t="n">
        <v>46336.95833333334</v>
      </c>
      <c r="G81" t="n">
        <v>32</v>
      </c>
      <c r="H81" t="inlineStr">
        <is>
          <t>celsius</t>
        </is>
      </c>
      <c r="I81" t="n">
        <v>7</v>
      </c>
      <c r="J81" t="inlineStr">
        <is>
          <t>airbase/batch005/it-room-01/temperature/0007</t>
        </is>
      </c>
      <c r="K81">
        <f>[@asset_type]&amp;"|"&amp;[@sensor]</f>
        <v/>
      </c>
      <c r="L81">
        <f>XLOOKUP([@clé],Seuils[clé],Seuils[limite])</f>
        <v/>
      </c>
      <c r="M81">
        <f>XLOOKUP([@clé],Seuils[clé],Seuils[direction])</f>
        <v/>
      </c>
      <c r="N81">
        <f>IF([@direction]="&lt;=",[@value]&lt;=[@limite],[@value]&gt;=[@limite])</f>
        <v/>
      </c>
    </row>
    <row r="82">
      <c r="A82" t="inlineStr">
        <is>
          <t>it-room-01-temperature-0008</t>
        </is>
      </c>
      <c r="B82" t="inlineStr">
        <is>
          <t>base-projetee-alpha</t>
        </is>
      </c>
      <c r="C82" t="inlineStr">
        <is>
          <t>it-room-01</t>
        </is>
      </c>
      <c r="D82" t="inlineStr">
        <is>
          <t>tactical_it</t>
        </is>
      </c>
      <c r="E82" t="inlineStr">
        <is>
          <t>temperature</t>
        </is>
      </c>
      <c r="F82" s="2" t="n">
        <v>46337.25</v>
      </c>
      <c r="G82" t="n">
        <v>31.4</v>
      </c>
      <c r="H82" t="inlineStr">
        <is>
          <t>celsius</t>
        </is>
      </c>
      <c r="I82" t="n">
        <v>8</v>
      </c>
      <c r="J82" t="inlineStr">
        <is>
          <t>airbase/batch005/it-room-01/temperature/0008</t>
        </is>
      </c>
      <c r="K82">
        <f>[@asset_type]&amp;"|"&amp;[@sensor]</f>
        <v/>
      </c>
      <c r="L82">
        <f>XLOOKUP([@clé],Seuils[clé],Seuils[limite])</f>
        <v/>
      </c>
      <c r="M82">
        <f>XLOOKUP([@clé],Seuils[clé],Seuils[direction])</f>
        <v/>
      </c>
      <c r="N82">
        <f>IF([@direction]="&lt;=",[@value]&lt;=[@limite],[@value]&gt;=[@limite])</f>
        <v/>
      </c>
    </row>
    <row r="83">
      <c r="A83" t="inlineStr">
        <is>
          <t>it-room-01-temperature-0009</t>
        </is>
      </c>
      <c r="B83" t="inlineStr">
        <is>
          <t>base-projetee-alpha</t>
        </is>
      </c>
      <c r="C83" t="inlineStr">
        <is>
          <t>it-room-01</t>
        </is>
      </c>
      <c r="D83" t="inlineStr">
        <is>
          <t>tactical_it</t>
        </is>
      </c>
      <c r="E83" t="inlineStr">
        <is>
          <t>temperature</t>
        </is>
      </c>
      <c r="F83" s="2" t="n">
        <v>46337.5</v>
      </c>
      <c r="G83" t="n">
        <v>32.4</v>
      </c>
      <c r="H83" t="inlineStr">
        <is>
          <t>celsius</t>
        </is>
      </c>
      <c r="I83" t="n">
        <v>9</v>
      </c>
      <c r="J83" t="inlineStr">
        <is>
          <t>airbase/batch005/it-room-01/temperature/0009</t>
        </is>
      </c>
      <c r="K83">
        <f>[@asset_type]&amp;"|"&amp;[@sensor]</f>
        <v/>
      </c>
      <c r="L83">
        <f>XLOOKUP([@clé],Seuils[clé],Seuils[limite])</f>
        <v/>
      </c>
      <c r="M83">
        <f>XLOOKUP([@clé],Seuils[clé],Seuils[direction])</f>
        <v/>
      </c>
      <c r="N83">
        <f>IF([@direction]="&lt;=",[@value]&lt;=[@limite],[@value]&gt;=[@limite])</f>
        <v/>
      </c>
    </row>
    <row r="84">
      <c r="A84" t="inlineStr">
        <is>
          <t>it-room-01-temperature-0010</t>
        </is>
      </c>
      <c r="B84" t="inlineStr">
        <is>
          <t>base-projetee-alpha</t>
        </is>
      </c>
      <c r="C84" t="inlineStr">
        <is>
          <t>it-room-01</t>
        </is>
      </c>
      <c r="D84" t="inlineStr">
        <is>
          <t>tactical_it</t>
        </is>
      </c>
      <c r="E84" t="inlineStr">
        <is>
          <t>temperature</t>
        </is>
      </c>
      <c r="F84" s="2" t="n">
        <v>46337.75</v>
      </c>
      <c r="G84" t="n">
        <v>33</v>
      </c>
      <c r="H84" t="inlineStr">
        <is>
          <t>celsius</t>
        </is>
      </c>
      <c r="I84" t="n">
        <v>10</v>
      </c>
      <c r="J84" t="inlineStr">
        <is>
          <t>airbase/batch005/it-room-01/temperature/0010</t>
        </is>
      </c>
      <c r="K84">
        <f>[@asset_type]&amp;"|"&amp;[@sensor]</f>
        <v/>
      </c>
      <c r="L84">
        <f>XLOOKUP([@clé],Seuils[clé],Seuils[limite])</f>
        <v/>
      </c>
      <c r="M84">
        <f>XLOOKUP([@clé],Seuils[clé],Seuils[direction])</f>
        <v/>
      </c>
      <c r="N84">
        <f>IF([@direction]="&lt;=",[@value]&lt;=[@limite],[@value]&gt;=[@limite])</f>
        <v/>
      </c>
    </row>
    <row r="85">
      <c r="A85" t="inlineStr">
        <is>
          <t>it-room-01-temperature-0011</t>
        </is>
      </c>
      <c r="B85" t="inlineStr">
        <is>
          <t>base-projetee-alpha</t>
        </is>
      </c>
      <c r="C85" t="inlineStr">
        <is>
          <t>it-room-01</t>
        </is>
      </c>
      <c r="D85" t="inlineStr">
        <is>
          <t>tactical_it</t>
        </is>
      </c>
      <c r="E85" t="inlineStr">
        <is>
          <t>temperature</t>
        </is>
      </c>
      <c r="F85" s="2" t="n">
        <v>46337.95833333334</v>
      </c>
      <c r="G85" t="n">
        <v>32.2</v>
      </c>
      <c r="H85" t="inlineStr">
        <is>
          <t>celsius</t>
        </is>
      </c>
      <c r="I85" t="n">
        <v>11</v>
      </c>
      <c r="J85" t="inlineStr">
        <is>
          <t>airbase/batch005/it-room-01/temperature/0011</t>
        </is>
      </c>
      <c r="K85">
        <f>[@asset_type]&amp;"|"&amp;[@sensor]</f>
        <v/>
      </c>
      <c r="L85">
        <f>XLOOKUP([@clé],Seuils[clé],Seuils[limite])</f>
        <v/>
      </c>
      <c r="M85">
        <f>XLOOKUP([@clé],Seuils[clé],Seuils[direction])</f>
        <v/>
      </c>
      <c r="N85">
        <f>IF([@direction]="&lt;=",[@value]&lt;=[@limite],[@value]&gt;=[@limite])</f>
        <v/>
      </c>
    </row>
    <row r="86">
      <c r="A86" t="inlineStr">
        <is>
          <t>maintenance-zone-01-temperature-0000</t>
        </is>
      </c>
      <c r="B86" t="inlineStr">
        <is>
          <t>base-projetee-alpha</t>
        </is>
      </c>
      <c r="C86" t="inlineStr">
        <is>
          <t>maintenance-zone-01</t>
        </is>
      </c>
      <c r="D86" t="inlineStr">
        <is>
          <t>light_maintenance</t>
        </is>
      </c>
      <c r="E86" t="inlineStr">
        <is>
          <t>temperature</t>
        </is>
      </c>
      <c r="F86" s="2" t="n">
        <v>46335.25</v>
      </c>
      <c r="G86" t="n">
        <v>30</v>
      </c>
      <c r="H86" t="inlineStr">
        <is>
          <t>celsius</t>
        </is>
      </c>
      <c r="I86" t="n">
        <v>0</v>
      </c>
      <c r="J86" t="inlineStr">
        <is>
          <t>airbase/batch005/maintenance-zone-01/temperature/0000</t>
        </is>
      </c>
      <c r="K86">
        <f>[@asset_type]&amp;"|"&amp;[@sensor]</f>
        <v/>
      </c>
      <c r="L86">
        <f>XLOOKUP([@clé],Seuils[clé],Seuils[limite])</f>
        <v/>
      </c>
      <c r="M86">
        <f>XLOOKUP([@clé],Seuils[clé],Seuils[direction])</f>
        <v/>
      </c>
      <c r="N86">
        <f>IF([@direction]="&lt;=",[@value]&lt;=[@limite],[@value]&gt;=[@limite])</f>
        <v/>
      </c>
    </row>
    <row r="87">
      <c r="A87" t="inlineStr">
        <is>
          <t>maintenance-zone-01-temperature-0001</t>
        </is>
      </c>
      <c r="B87" t="inlineStr">
        <is>
          <t>base-projetee-alpha</t>
        </is>
      </c>
      <c r="C87" t="inlineStr">
        <is>
          <t>maintenance-zone-01</t>
        </is>
      </c>
      <c r="D87" t="inlineStr">
        <is>
          <t>light_maintenance</t>
        </is>
      </c>
      <c r="E87" t="inlineStr">
        <is>
          <t>temperature</t>
        </is>
      </c>
      <c r="F87" s="2" t="n">
        <v>46335.5</v>
      </c>
      <c r="G87" t="n">
        <v>30.4</v>
      </c>
      <c r="H87" t="inlineStr">
        <is>
          <t>celsius</t>
        </is>
      </c>
      <c r="I87" t="n">
        <v>1</v>
      </c>
      <c r="J87" t="inlineStr">
        <is>
          <t>airbase/batch005/maintenance-zone-01/temperature/0001</t>
        </is>
      </c>
      <c r="K87">
        <f>[@asset_type]&amp;"|"&amp;[@sensor]</f>
        <v/>
      </c>
      <c r="L87">
        <f>XLOOKUP([@clé],Seuils[clé],Seuils[limite])</f>
        <v/>
      </c>
      <c r="M87">
        <f>XLOOKUP([@clé],Seuils[clé],Seuils[direction])</f>
        <v/>
      </c>
      <c r="N87">
        <f>IF([@direction]="&lt;=",[@value]&lt;=[@limite],[@value]&gt;=[@limite])</f>
        <v/>
      </c>
    </row>
    <row r="88">
      <c r="A88" t="inlineStr">
        <is>
          <t>maintenance-zone-01-temperature-0002</t>
        </is>
      </c>
      <c r="B88" t="inlineStr">
        <is>
          <t>base-projetee-alpha</t>
        </is>
      </c>
      <c r="C88" t="inlineStr">
        <is>
          <t>maintenance-zone-01</t>
        </is>
      </c>
      <c r="D88" t="inlineStr">
        <is>
          <t>light_maintenance</t>
        </is>
      </c>
      <c r="E88" t="inlineStr">
        <is>
          <t>temperature</t>
        </is>
      </c>
      <c r="F88" s="2" t="n">
        <v>46335.75</v>
      </c>
      <c r="G88" t="n">
        <v>30.6</v>
      </c>
      <c r="H88" t="inlineStr">
        <is>
          <t>celsius</t>
        </is>
      </c>
      <c r="I88" t="n">
        <v>2</v>
      </c>
      <c r="J88" t="inlineStr">
        <is>
          <t>airbase/batch005/maintenance-zone-01/temperature/0002</t>
        </is>
      </c>
      <c r="K88">
        <f>[@asset_type]&amp;"|"&amp;[@sensor]</f>
        <v/>
      </c>
      <c r="L88">
        <f>XLOOKUP([@clé],Seuils[clé],Seuils[limite])</f>
        <v/>
      </c>
      <c r="M88">
        <f>XLOOKUP([@clé],Seuils[clé],Seuils[direction])</f>
        <v/>
      </c>
      <c r="N88">
        <f>IF([@direction]="&lt;=",[@value]&lt;=[@limite],[@value]&gt;=[@limite])</f>
        <v/>
      </c>
    </row>
    <row r="89">
      <c r="A89" t="inlineStr">
        <is>
          <t>maintenance-zone-01-temperature-0003</t>
        </is>
      </c>
      <c r="B89" t="inlineStr">
        <is>
          <t>base-projetee-alpha</t>
        </is>
      </c>
      <c r="C89" t="inlineStr">
        <is>
          <t>maintenance-zone-01</t>
        </is>
      </c>
      <c r="D89" t="inlineStr">
        <is>
          <t>light_maintenance</t>
        </is>
      </c>
      <c r="E89" t="inlineStr">
        <is>
          <t>temperature</t>
        </is>
      </c>
      <c r="F89" s="2" t="n">
        <v>46335.95833333334</v>
      </c>
      <c r="G89" t="n">
        <v>30.2</v>
      </c>
      <c r="H89" t="inlineStr">
        <is>
          <t>celsius</t>
        </is>
      </c>
      <c r="I89" t="n">
        <v>3</v>
      </c>
      <c r="J89" t="inlineStr">
        <is>
          <t>airbase/batch005/maintenance-zone-01/temperature/0003</t>
        </is>
      </c>
      <c r="K89">
        <f>[@asset_type]&amp;"|"&amp;[@sensor]</f>
        <v/>
      </c>
      <c r="L89">
        <f>XLOOKUP([@clé],Seuils[clé],Seuils[limite])</f>
        <v/>
      </c>
      <c r="M89">
        <f>XLOOKUP([@clé],Seuils[clé],Seuils[direction])</f>
        <v/>
      </c>
      <c r="N89">
        <f>IF([@direction]="&lt;=",[@value]&lt;=[@limite],[@value]&gt;=[@limite])</f>
        <v/>
      </c>
    </row>
    <row r="90">
      <c r="A90" t="inlineStr">
        <is>
          <t>maintenance-zone-01-temperature-0004</t>
        </is>
      </c>
      <c r="B90" t="inlineStr">
        <is>
          <t>base-projetee-alpha</t>
        </is>
      </c>
      <c r="C90" t="inlineStr">
        <is>
          <t>maintenance-zone-01</t>
        </is>
      </c>
      <c r="D90" t="inlineStr">
        <is>
          <t>light_maintenance</t>
        </is>
      </c>
      <c r="E90" t="inlineStr">
        <is>
          <t>temperature</t>
        </is>
      </c>
      <c r="F90" s="2" t="n">
        <v>46336.25</v>
      </c>
      <c r="G90" t="n">
        <v>30.1</v>
      </c>
      <c r="H90" t="inlineStr">
        <is>
          <t>celsius</t>
        </is>
      </c>
      <c r="I90" t="n">
        <v>4</v>
      </c>
      <c r="J90" t="inlineStr">
        <is>
          <t>airbase/batch005/maintenance-zone-01/temperature/0004</t>
        </is>
      </c>
      <c r="K90">
        <f>[@asset_type]&amp;"|"&amp;[@sensor]</f>
        <v/>
      </c>
      <c r="L90">
        <f>XLOOKUP([@clé],Seuils[clé],Seuils[limite])</f>
        <v/>
      </c>
      <c r="M90">
        <f>XLOOKUP([@clé],Seuils[clé],Seuils[direction])</f>
        <v/>
      </c>
      <c r="N90">
        <f>IF([@direction]="&lt;=",[@value]&lt;=[@limite],[@value]&gt;=[@limite])</f>
        <v/>
      </c>
    </row>
    <row r="91">
      <c r="A91" t="inlineStr">
        <is>
          <t>maintenance-zone-01-temperature-0005</t>
        </is>
      </c>
      <c r="B91" t="inlineStr">
        <is>
          <t>base-projetee-alpha</t>
        </is>
      </c>
      <c r="C91" t="inlineStr">
        <is>
          <t>maintenance-zone-01</t>
        </is>
      </c>
      <c r="D91" t="inlineStr">
        <is>
          <t>light_maintenance</t>
        </is>
      </c>
      <c r="E91" t="inlineStr">
        <is>
          <t>temperature</t>
        </is>
      </c>
      <c r="F91" s="2" t="n">
        <v>46336.5</v>
      </c>
      <c r="G91" t="n">
        <v>30.5</v>
      </c>
      <c r="H91" t="inlineStr">
        <is>
          <t>celsius</t>
        </is>
      </c>
      <c r="I91" t="n">
        <v>5</v>
      </c>
      <c r="J91" t="inlineStr">
        <is>
          <t>airbase/batch005/maintenance-zone-01/temperature/0005</t>
        </is>
      </c>
      <c r="K91">
        <f>[@asset_type]&amp;"|"&amp;[@sensor]</f>
        <v/>
      </c>
      <c r="L91">
        <f>XLOOKUP([@clé],Seuils[clé],Seuils[limite])</f>
        <v/>
      </c>
      <c r="M91">
        <f>XLOOKUP([@clé],Seuils[clé],Seuils[direction])</f>
        <v/>
      </c>
      <c r="N91">
        <f>IF([@direction]="&lt;=",[@value]&lt;=[@limite],[@value]&gt;=[@limite])</f>
        <v/>
      </c>
    </row>
    <row r="92">
      <c r="A92" t="inlineStr">
        <is>
          <t>maintenance-zone-01-temperature-0006</t>
        </is>
      </c>
      <c r="B92" t="inlineStr">
        <is>
          <t>base-projetee-alpha</t>
        </is>
      </c>
      <c r="C92" t="inlineStr">
        <is>
          <t>maintenance-zone-01</t>
        </is>
      </c>
      <c r="D92" t="inlineStr">
        <is>
          <t>light_maintenance</t>
        </is>
      </c>
      <c r="E92" t="inlineStr">
        <is>
          <t>temperature</t>
        </is>
      </c>
      <c r="F92" s="2" t="n">
        <v>46336.75</v>
      </c>
      <c r="G92" t="n">
        <v>30.7</v>
      </c>
      <c r="H92" t="inlineStr">
        <is>
          <t>celsius</t>
        </is>
      </c>
      <c r="I92" t="n">
        <v>6</v>
      </c>
      <c r="J92" t="inlineStr">
        <is>
          <t>airbase/batch005/maintenance-zone-01/temperature/0006</t>
        </is>
      </c>
      <c r="K92">
        <f>[@asset_type]&amp;"|"&amp;[@sensor]</f>
        <v/>
      </c>
      <c r="L92">
        <f>XLOOKUP([@clé],Seuils[clé],Seuils[limite])</f>
        <v/>
      </c>
      <c r="M92">
        <f>XLOOKUP([@clé],Seuils[clé],Seuils[direction])</f>
        <v/>
      </c>
      <c r="N92">
        <f>IF([@direction]="&lt;=",[@value]&lt;=[@limite],[@value]&gt;=[@limite])</f>
        <v/>
      </c>
    </row>
    <row r="93">
      <c r="A93" t="inlineStr">
        <is>
          <t>maintenance-zone-01-temperature-0007</t>
        </is>
      </c>
      <c r="B93" t="inlineStr">
        <is>
          <t>base-projetee-alpha</t>
        </is>
      </c>
      <c r="C93" t="inlineStr">
        <is>
          <t>maintenance-zone-01</t>
        </is>
      </c>
      <c r="D93" t="inlineStr">
        <is>
          <t>light_maintenance</t>
        </is>
      </c>
      <c r="E93" t="inlineStr">
        <is>
          <t>temperature</t>
        </is>
      </c>
      <c r="F93" s="2" t="n">
        <v>46336.95833333334</v>
      </c>
      <c r="G93" t="n">
        <v>30.3</v>
      </c>
      <c r="H93" t="inlineStr">
        <is>
          <t>celsius</t>
        </is>
      </c>
      <c r="I93" t="n">
        <v>7</v>
      </c>
      <c r="J93" t="inlineStr">
        <is>
          <t>airbase/batch005/maintenance-zone-01/temperature/0007</t>
        </is>
      </c>
      <c r="K93">
        <f>[@asset_type]&amp;"|"&amp;[@sensor]</f>
        <v/>
      </c>
      <c r="L93">
        <f>XLOOKUP([@clé],Seuils[clé],Seuils[limite])</f>
        <v/>
      </c>
      <c r="M93">
        <f>XLOOKUP([@clé],Seuils[clé],Seuils[direction])</f>
        <v/>
      </c>
      <c r="N93">
        <f>IF([@direction]="&lt;=",[@value]&lt;=[@limite],[@value]&gt;=[@limite])</f>
        <v/>
      </c>
    </row>
    <row r="94">
      <c r="A94" t="inlineStr">
        <is>
          <t>maintenance-zone-01-temperature-0008</t>
        </is>
      </c>
      <c r="B94" t="inlineStr">
        <is>
          <t>base-projetee-alpha</t>
        </is>
      </c>
      <c r="C94" t="inlineStr">
        <is>
          <t>maintenance-zone-01</t>
        </is>
      </c>
      <c r="D94" t="inlineStr">
        <is>
          <t>light_maintenance</t>
        </is>
      </c>
      <c r="E94" t="inlineStr">
        <is>
          <t>temperature</t>
        </is>
      </c>
      <c r="F94" s="2" t="n">
        <v>46337.25</v>
      </c>
      <c r="G94" t="n">
        <v>30.2</v>
      </c>
      <c r="H94" t="inlineStr">
        <is>
          <t>celsius</t>
        </is>
      </c>
      <c r="I94" t="n">
        <v>8</v>
      </c>
      <c r="J94" t="inlineStr">
        <is>
          <t>airbase/batch005/maintenance-zone-01/temperature/0008</t>
        </is>
      </c>
      <c r="K94">
        <f>[@asset_type]&amp;"|"&amp;[@sensor]</f>
        <v/>
      </c>
      <c r="L94">
        <f>XLOOKUP([@clé],Seuils[clé],Seuils[limite])</f>
        <v/>
      </c>
      <c r="M94">
        <f>XLOOKUP([@clé],Seuils[clé],Seuils[direction])</f>
        <v/>
      </c>
      <c r="N94">
        <f>IF([@direction]="&lt;=",[@value]&lt;=[@limite],[@value]&gt;=[@limite])</f>
        <v/>
      </c>
    </row>
    <row r="95">
      <c r="A95" t="inlineStr">
        <is>
          <t>maintenance-zone-01-temperature-0009</t>
        </is>
      </c>
      <c r="B95" t="inlineStr">
        <is>
          <t>base-projetee-alpha</t>
        </is>
      </c>
      <c r="C95" t="inlineStr">
        <is>
          <t>maintenance-zone-01</t>
        </is>
      </c>
      <c r="D95" t="inlineStr">
        <is>
          <t>light_maintenance</t>
        </is>
      </c>
      <c r="E95" t="inlineStr">
        <is>
          <t>temperature</t>
        </is>
      </c>
      <c r="F95" s="2" t="n">
        <v>46337.5</v>
      </c>
      <c r="G95" t="n">
        <v>30.6</v>
      </c>
      <c r="H95" t="inlineStr">
        <is>
          <t>celsius</t>
        </is>
      </c>
      <c r="I95" t="n">
        <v>9</v>
      </c>
      <c r="J95" t="inlineStr">
        <is>
          <t>airbase/batch005/maintenance-zone-01/temperature/0009</t>
        </is>
      </c>
      <c r="K95">
        <f>[@asset_type]&amp;"|"&amp;[@sensor]</f>
        <v/>
      </c>
      <c r="L95">
        <f>XLOOKUP([@clé],Seuils[clé],Seuils[limite])</f>
        <v/>
      </c>
      <c r="M95">
        <f>XLOOKUP([@clé],Seuils[clé],Seuils[direction])</f>
        <v/>
      </c>
      <c r="N95">
        <f>IF([@direction]="&lt;=",[@value]&lt;=[@limite],[@value]&gt;=[@limite])</f>
        <v/>
      </c>
    </row>
    <row r="96">
      <c r="A96" t="inlineStr">
        <is>
          <t>maintenance-zone-01-temperature-0010</t>
        </is>
      </c>
      <c r="B96" t="inlineStr">
        <is>
          <t>base-projetee-alpha</t>
        </is>
      </c>
      <c r="C96" t="inlineStr">
        <is>
          <t>maintenance-zone-01</t>
        </is>
      </c>
      <c r="D96" t="inlineStr">
        <is>
          <t>light_maintenance</t>
        </is>
      </c>
      <c r="E96" t="inlineStr">
        <is>
          <t>temperature</t>
        </is>
      </c>
      <c r="F96" s="2" t="n">
        <v>46337.75</v>
      </c>
      <c r="G96" t="n">
        <v>30.8</v>
      </c>
      <c r="H96" t="inlineStr">
        <is>
          <t>celsius</t>
        </is>
      </c>
      <c r="I96" t="n">
        <v>10</v>
      </c>
      <c r="J96" t="inlineStr">
        <is>
          <t>airbase/batch005/maintenance-zone-01/temperature/0010</t>
        </is>
      </c>
      <c r="K96">
        <f>[@asset_type]&amp;"|"&amp;[@sensor]</f>
        <v/>
      </c>
      <c r="L96">
        <f>XLOOKUP([@clé],Seuils[clé],Seuils[limite])</f>
        <v/>
      </c>
      <c r="M96">
        <f>XLOOKUP([@clé],Seuils[clé],Seuils[direction])</f>
        <v/>
      </c>
      <c r="N96">
        <f>IF([@direction]="&lt;=",[@value]&lt;=[@limite],[@value]&gt;=[@limite])</f>
        <v/>
      </c>
    </row>
    <row r="97">
      <c r="A97" t="inlineStr">
        <is>
          <t>maintenance-zone-01-temperature-0011</t>
        </is>
      </c>
      <c r="B97" t="inlineStr">
        <is>
          <t>base-projetee-alpha</t>
        </is>
      </c>
      <c r="C97" t="inlineStr">
        <is>
          <t>maintenance-zone-01</t>
        </is>
      </c>
      <c r="D97" t="inlineStr">
        <is>
          <t>light_maintenance</t>
        </is>
      </c>
      <c r="E97" t="inlineStr">
        <is>
          <t>temperature</t>
        </is>
      </c>
      <c r="F97" s="2" t="n">
        <v>46337.95833333334</v>
      </c>
      <c r="G97" t="n">
        <v>30.4</v>
      </c>
      <c r="H97" t="inlineStr">
        <is>
          <t>celsius</t>
        </is>
      </c>
      <c r="I97" t="n">
        <v>11</v>
      </c>
      <c r="J97" t="inlineStr">
        <is>
          <t>airbase/batch005/maintenance-zone-01/temperature/0011</t>
        </is>
      </c>
      <c r="K97">
        <f>[@asset_type]&amp;"|"&amp;[@sensor]</f>
        <v/>
      </c>
      <c r="L97">
        <f>XLOOKUP([@clé],Seuils[clé],Seuils[limite])</f>
        <v/>
      </c>
      <c r="M97">
        <f>XLOOKUP([@clé],Seuils[clé],Seuils[direction])</f>
        <v/>
      </c>
      <c r="N97">
        <f>IF([@direction]="&lt;=",[@value]&lt;=[@limite],[@value]&gt;=[@limite])</f>
        <v/>
      </c>
    </row>
    <row r="98">
      <c r="A98" t="inlineStr">
        <is>
          <t>medical-post-01-humidity-0000</t>
        </is>
      </c>
      <c r="B98" t="inlineStr">
        <is>
          <t>base-projetee-alpha</t>
        </is>
      </c>
      <c r="C98" t="inlineStr">
        <is>
          <t>medical-post-01</t>
        </is>
      </c>
      <c r="D98" t="inlineStr">
        <is>
          <t>medical_post</t>
        </is>
      </c>
      <c r="E98" t="inlineStr">
        <is>
          <t>humidity</t>
        </is>
      </c>
      <c r="F98" s="2" t="n">
        <v>46335.25</v>
      </c>
      <c r="G98" t="n">
        <v>47</v>
      </c>
      <c r="H98" t="inlineStr">
        <is>
          <t>percent</t>
        </is>
      </c>
      <c r="I98" t="n">
        <v>0</v>
      </c>
      <c r="J98" t="inlineStr">
        <is>
          <t>airbase/batch005/medical-post-01/humidity/0000</t>
        </is>
      </c>
      <c r="K98">
        <f>[@asset_type]&amp;"|"&amp;[@sensor]</f>
        <v/>
      </c>
      <c r="L98">
        <f>XLOOKUP([@clé],Seuils[clé],Seuils[limite])</f>
        <v/>
      </c>
      <c r="M98">
        <f>XLOOKUP([@clé],Seuils[clé],Seuils[direction])</f>
        <v/>
      </c>
      <c r="N98">
        <f>IF([@direction]="&lt;=",[@value]&lt;=[@limite],[@value]&gt;=[@limite])</f>
        <v/>
      </c>
    </row>
    <row r="99">
      <c r="A99" t="inlineStr">
        <is>
          <t>medical-post-01-humidity-0001</t>
        </is>
      </c>
      <c r="B99" t="inlineStr">
        <is>
          <t>base-projetee-alpha</t>
        </is>
      </c>
      <c r="C99" t="inlineStr">
        <is>
          <t>medical-post-01</t>
        </is>
      </c>
      <c r="D99" t="inlineStr">
        <is>
          <t>medical_post</t>
        </is>
      </c>
      <c r="E99" t="inlineStr">
        <is>
          <t>humidity</t>
        </is>
      </c>
      <c r="F99" s="2" t="n">
        <v>46335.5</v>
      </c>
      <c r="G99" t="n">
        <v>49</v>
      </c>
      <c r="H99" t="inlineStr">
        <is>
          <t>percent</t>
        </is>
      </c>
      <c r="I99" t="n">
        <v>1</v>
      </c>
      <c r="J99" t="inlineStr">
        <is>
          <t>airbase/batch005/medical-post-01/humidity/0001</t>
        </is>
      </c>
      <c r="K99">
        <f>[@asset_type]&amp;"|"&amp;[@sensor]</f>
        <v/>
      </c>
      <c r="L99">
        <f>XLOOKUP([@clé],Seuils[clé],Seuils[limite])</f>
        <v/>
      </c>
      <c r="M99">
        <f>XLOOKUP([@clé],Seuils[clé],Seuils[direction])</f>
        <v/>
      </c>
      <c r="N99">
        <f>IF([@direction]="&lt;=",[@value]&lt;=[@limite],[@value]&gt;=[@limite])</f>
        <v/>
      </c>
    </row>
    <row r="100">
      <c r="A100" t="inlineStr">
        <is>
          <t>medical-post-01-humidity-0002</t>
        </is>
      </c>
      <c r="B100" t="inlineStr">
        <is>
          <t>base-projetee-alpha</t>
        </is>
      </c>
      <c r="C100" t="inlineStr">
        <is>
          <t>medical-post-01</t>
        </is>
      </c>
      <c r="D100" t="inlineStr">
        <is>
          <t>medical_post</t>
        </is>
      </c>
      <c r="E100" t="inlineStr">
        <is>
          <t>humidity</t>
        </is>
      </c>
      <c r="F100" s="2" t="n">
        <v>46335.75</v>
      </c>
      <c r="G100" t="n">
        <v>51</v>
      </c>
      <c r="H100" t="inlineStr">
        <is>
          <t>percent</t>
        </is>
      </c>
      <c r="I100" t="n">
        <v>2</v>
      </c>
      <c r="J100" t="inlineStr">
        <is>
          <t>airbase/batch005/medical-post-01/humidity/0002</t>
        </is>
      </c>
      <c r="K100">
        <f>[@asset_type]&amp;"|"&amp;[@sensor]</f>
        <v/>
      </c>
      <c r="L100">
        <f>XLOOKUP([@clé],Seuils[clé],Seuils[limite])</f>
        <v/>
      </c>
      <c r="M100">
        <f>XLOOKUP([@clé],Seuils[clé],Seuils[direction])</f>
        <v/>
      </c>
      <c r="N100">
        <f>IF([@direction]="&lt;=",[@value]&lt;=[@limite],[@value]&gt;=[@limite])</f>
        <v/>
      </c>
    </row>
    <row r="101">
      <c r="A101" t="inlineStr">
        <is>
          <t>medical-post-01-humidity-0003</t>
        </is>
      </c>
      <c r="B101" t="inlineStr">
        <is>
          <t>base-projetee-alpha</t>
        </is>
      </c>
      <c r="C101" t="inlineStr">
        <is>
          <t>medical-post-01</t>
        </is>
      </c>
      <c r="D101" t="inlineStr">
        <is>
          <t>medical_post</t>
        </is>
      </c>
      <c r="E101" t="inlineStr">
        <is>
          <t>humidity</t>
        </is>
      </c>
      <c r="F101" s="2" t="n">
        <v>46335.95833333334</v>
      </c>
      <c r="G101" t="n">
        <v>48</v>
      </c>
      <c r="H101" t="inlineStr">
        <is>
          <t>percent</t>
        </is>
      </c>
      <c r="I101" t="n">
        <v>3</v>
      </c>
      <c r="J101" t="inlineStr">
        <is>
          <t>airbase/batch005/medical-post-01/humidity/0003</t>
        </is>
      </c>
      <c r="K101">
        <f>[@asset_type]&amp;"|"&amp;[@sensor]</f>
        <v/>
      </c>
      <c r="L101">
        <f>XLOOKUP([@clé],Seuils[clé],Seuils[limite])</f>
        <v/>
      </c>
      <c r="M101">
        <f>XLOOKUP([@clé],Seuils[clé],Seuils[direction])</f>
        <v/>
      </c>
      <c r="N101">
        <f>IF([@direction]="&lt;=",[@value]&lt;=[@limite],[@value]&gt;=[@limite])</f>
        <v/>
      </c>
    </row>
    <row r="102">
      <c r="A102" t="inlineStr">
        <is>
          <t>medical-post-01-humidity-0004</t>
        </is>
      </c>
      <c r="B102" t="inlineStr">
        <is>
          <t>base-projetee-alpha</t>
        </is>
      </c>
      <c r="C102" t="inlineStr">
        <is>
          <t>medical-post-01</t>
        </is>
      </c>
      <c r="D102" t="inlineStr">
        <is>
          <t>medical_post</t>
        </is>
      </c>
      <c r="E102" t="inlineStr">
        <is>
          <t>humidity</t>
        </is>
      </c>
      <c r="F102" s="2" t="n">
        <v>46336.25</v>
      </c>
      <c r="G102" t="n">
        <v>46</v>
      </c>
      <c r="H102" t="inlineStr">
        <is>
          <t>percent</t>
        </is>
      </c>
      <c r="I102" t="n">
        <v>4</v>
      </c>
      <c r="J102" t="inlineStr">
        <is>
          <t>airbase/batch005/medical-post-01/humidity/0004</t>
        </is>
      </c>
      <c r="K102">
        <f>[@asset_type]&amp;"|"&amp;[@sensor]</f>
        <v/>
      </c>
      <c r="L102">
        <f>XLOOKUP([@clé],Seuils[clé],Seuils[limite])</f>
        <v/>
      </c>
      <c r="M102">
        <f>XLOOKUP([@clé],Seuils[clé],Seuils[direction])</f>
        <v/>
      </c>
      <c r="N102">
        <f>IF([@direction]="&lt;=",[@value]&lt;=[@limite],[@value]&gt;=[@limite])</f>
        <v/>
      </c>
    </row>
    <row r="103">
      <c r="A103" t="inlineStr">
        <is>
          <t>medical-post-01-humidity-0005</t>
        </is>
      </c>
      <c r="B103" t="inlineStr">
        <is>
          <t>base-projetee-alpha</t>
        </is>
      </c>
      <c r="C103" t="inlineStr">
        <is>
          <t>medical-post-01</t>
        </is>
      </c>
      <c r="D103" t="inlineStr">
        <is>
          <t>medical_post</t>
        </is>
      </c>
      <c r="E103" t="inlineStr">
        <is>
          <t>humidity</t>
        </is>
      </c>
      <c r="F103" s="2" t="n">
        <v>46336.5</v>
      </c>
      <c r="G103" t="n">
        <v>49</v>
      </c>
      <c r="H103" t="inlineStr">
        <is>
          <t>percent</t>
        </is>
      </c>
      <c r="I103" t="n">
        <v>5</v>
      </c>
      <c r="J103" t="inlineStr">
        <is>
          <t>airbase/batch005/medical-post-01/humidity/0005</t>
        </is>
      </c>
      <c r="K103">
        <f>[@asset_type]&amp;"|"&amp;[@sensor]</f>
        <v/>
      </c>
      <c r="L103">
        <f>XLOOKUP([@clé],Seuils[clé],Seuils[limite])</f>
        <v/>
      </c>
      <c r="M103">
        <f>XLOOKUP([@clé],Seuils[clé],Seuils[direction])</f>
        <v/>
      </c>
      <c r="N103">
        <f>IF([@direction]="&lt;=",[@value]&lt;=[@limite],[@value]&gt;=[@limite])</f>
        <v/>
      </c>
    </row>
    <row r="104">
      <c r="A104" t="inlineStr">
        <is>
          <t>medical-post-01-humidity-0006</t>
        </is>
      </c>
      <c r="B104" t="inlineStr">
        <is>
          <t>base-projetee-alpha</t>
        </is>
      </c>
      <c r="C104" t="inlineStr">
        <is>
          <t>medical-post-01</t>
        </is>
      </c>
      <c r="D104" t="inlineStr">
        <is>
          <t>medical_post</t>
        </is>
      </c>
      <c r="E104" t="inlineStr">
        <is>
          <t>humidity</t>
        </is>
      </c>
      <c r="F104" s="2" t="n">
        <v>46336.75</v>
      </c>
      <c r="G104" t="n">
        <v>52</v>
      </c>
      <c r="H104" t="inlineStr">
        <is>
          <t>percent</t>
        </is>
      </c>
      <c r="I104" t="n">
        <v>6</v>
      </c>
      <c r="J104" t="inlineStr">
        <is>
          <t>airbase/batch005/medical-post-01/humidity/0006</t>
        </is>
      </c>
      <c r="K104">
        <f>[@asset_type]&amp;"|"&amp;[@sensor]</f>
        <v/>
      </c>
      <c r="L104">
        <f>XLOOKUP([@clé],Seuils[clé],Seuils[limite])</f>
        <v/>
      </c>
      <c r="M104">
        <f>XLOOKUP([@clé],Seuils[clé],Seuils[direction])</f>
        <v/>
      </c>
      <c r="N104">
        <f>IF([@direction]="&lt;=",[@value]&lt;=[@limite],[@value]&gt;=[@limite])</f>
        <v/>
      </c>
    </row>
    <row r="105">
      <c r="A105" t="inlineStr">
        <is>
          <t>medical-post-01-humidity-0007</t>
        </is>
      </c>
      <c r="B105" t="inlineStr">
        <is>
          <t>base-projetee-alpha</t>
        </is>
      </c>
      <c r="C105" t="inlineStr">
        <is>
          <t>medical-post-01</t>
        </is>
      </c>
      <c r="D105" t="inlineStr">
        <is>
          <t>medical_post</t>
        </is>
      </c>
      <c r="E105" t="inlineStr">
        <is>
          <t>humidity</t>
        </is>
      </c>
      <c r="F105" s="2" t="n">
        <v>46336.95833333334</v>
      </c>
      <c r="G105" t="n">
        <v>48</v>
      </c>
      <c r="H105" t="inlineStr">
        <is>
          <t>percent</t>
        </is>
      </c>
      <c r="I105" t="n">
        <v>7</v>
      </c>
      <c r="J105" t="inlineStr">
        <is>
          <t>airbase/batch005/medical-post-01/humidity/0007</t>
        </is>
      </c>
      <c r="K105">
        <f>[@asset_type]&amp;"|"&amp;[@sensor]</f>
        <v/>
      </c>
      <c r="L105">
        <f>XLOOKUP([@clé],Seuils[clé],Seuils[limite])</f>
        <v/>
      </c>
      <c r="M105">
        <f>XLOOKUP([@clé],Seuils[clé],Seuils[direction])</f>
        <v/>
      </c>
      <c r="N105">
        <f>IF([@direction]="&lt;=",[@value]&lt;=[@limite],[@value]&gt;=[@limite])</f>
        <v/>
      </c>
    </row>
    <row r="106">
      <c r="A106" t="inlineStr">
        <is>
          <t>medical-post-01-humidity-0008</t>
        </is>
      </c>
      <c r="B106" t="inlineStr">
        <is>
          <t>base-projetee-alpha</t>
        </is>
      </c>
      <c r="C106" t="inlineStr">
        <is>
          <t>medical-post-01</t>
        </is>
      </c>
      <c r="D106" t="inlineStr">
        <is>
          <t>medical_post</t>
        </is>
      </c>
      <c r="E106" t="inlineStr">
        <is>
          <t>humidity</t>
        </is>
      </c>
      <c r="F106" s="2" t="n">
        <v>46337.25</v>
      </c>
      <c r="G106" t="n">
        <v>47</v>
      </c>
      <c r="H106" t="inlineStr">
        <is>
          <t>percent</t>
        </is>
      </c>
      <c r="I106" t="n">
        <v>8</v>
      </c>
      <c r="J106" t="inlineStr">
        <is>
          <t>airbase/batch005/medical-post-01/humidity/0008</t>
        </is>
      </c>
      <c r="K106">
        <f>[@asset_type]&amp;"|"&amp;[@sensor]</f>
        <v/>
      </c>
      <c r="L106">
        <f>XLOOKUP([@clé],Seuils[clé],Seuils[limite])</f>
        <v/>
      </c>
      <c r="M106">
        <f>XLOOKUP([@clé],Seuils[clé],Seuils[direction])</f>
        <v/>
      </c>
      <c r="N106">
        <f>IF([@direction]="&lt;=",[@value]&lt;=[@limite],[@value]&gt;=[@limite])</f>
        <v/>
      </c>
    </row>
    <row r="107">
      <c r="A107" t="inlineStr">
        <is>
          <t>medical-post-01-humidity-0009</t>
        </is>
      </c>
      <c r="B107" t="inlineStr">
        <is>
          <t>base-projetee-alpha</t>
        </is>
      </c>
      <c r="C107" t="inlineStr">
        <is>
          <t>medical-post-01</t>
        </is>
      </c>
      <c r="D107" t="inlineStr">
        <is>
          <t>medical_post</t>
        </is>
      </c>
      <c r="E107" t="inlineStr">
        <is>
          <t>humidity</t>
        </is>
      </c>
      <c r="F107" s="2" t="n">
        <v>46337.5</v>
      </c>
      <c r="G107" t="n">
        <v>50</v>
      </c>
      <c r="H107" t="inlineStr">
        <is>
          <t>percent</t>
        </is>
      </c>
      <c r="I107" t="n">
        <v>9</v>
      </c>
      <c r="J107" t="inlineStr">
        <is>
          <t>airbase/batch005/medical-post-01/humidity/0009</t>
        </is>
      </c>
      <c r="K107">
        <f>[@asset_type]&amp;"|"&amp;[@sensor]</f>
        <v/>
      </c>
      <c r="L107">
        <f>XLOOKUP([@clé],Seuils[clé],Seuils[limite])</f>
        <v/>
      </c>
      <c r="M107">
        <f>XLOOKUP([@clé],Seuils[clé],Seuils[direction])</f>
        <v/>
      </c>
      <c r="N107">
        <f>IF([@direction]="&lt;=",[@value]&lt;=[@limite],[@value]&gt;=[@limite])</f>
        <v/>
      </c>
    </row>
    <row r="108">
      <c r="A108" t="inlineStr">
        <is>
          <t>medical-post-01-humidity-0010</t>
        </is>
      </c>
      <c r="B108" t="inlineStr">
        <is>
          <t>base-projetee-alpha</t>
        </is>
      </c>
      <c r="C108" t="inlineStr">
        <is>
          <t>medical-post-01</t>
        </is>
      </c>
      <c r="D108" t="inlineStr">
        <is>
          <t>medical_post</t>
        </is>
      </c>
      <c r="E108" t="inlineStr">
        <is>
          <t>humidity</t>
        </is>
      </c>
      <c r="F108" s="2" t="n">
        <v>46337.75</v>
      </c>
      <c r="G108" t="n">
        <v>52</v>
      </c>
      <c r="H108" t="inlineStr">
        <is>
          <t>percent</t>
        </is>
      </c>
      <c r="I108" t="n">
        <v>10</v>
      </c>
      <c r="J108" t="inlineStr">
        <is>
          <t>airbase/batch005/medical-post-01/humidity/0010</t>
        </is>
      </c>
      <c r="K108">
        <f>[@asset_type]&amp;"|"&amp;[@sensor]</f>
        <v/>
      </c>
      <c r="L108">
        <f>XLOOKUP([@clé],Seuils[clé],Seuils[limite])</f>
        <v/>
      </c>
      <c r="M108">
        <f>XLOOKUP([@clé],Seuils[clé],Seuils[direction])</f>
        <v/>
      </c>
      <c r="N108">
        <f>IF([@direction]="&lt;=",[@value]&lt;=[@limite],[@value]&gt;=[@limite])</f>
        <v/>
      </c>
    </row>
    <row r="109">
      <c r="A109" t="inlineStr">
        <is>
          <t>medical-post-01-humidity-0011</t>
        </is>
      </c>
      <c r="B109" t="inlineStr">
        <is>
          <t>base-projetee-alpha</t>
        </is>
      </c>
      <c r="C109" t="inlineStr">
        <is>
          <t>medical-post-01</t>
        </is>
      </c>
      <c r="D109" t="inlineStr">
        <is>
          <t>medical_post</t>
        </is>
      </c>
      <c r="E109" t="inlineStr">
        <is>
          <t>humidity</t>
        </is>
      </c>
      <c r="F109" s="2" t="n">
        <v>46337.95833333334</v>
      </c>
      <c r="G109" t="n">
        <v>49</v>
      </c>
      <c r="H109" t="inlineStr">
        <is>
          <t>percent</t>
        </is>
      </c>
      <c r="I109" t="n">
        <v>11</v>
      </c>
      <c r="J109" t="inlineStr">
        <is>
          <t>airbase/batch005/medical-post-01/humidity/0011</t>
        </is>
      </c>
      <c r="K109">
        <f>[@asset_type]&amp;"|"&amp;[@sensor]</f>
        <v/>
      </c>
      <c r="L109">
        <f>XLOOKUP([@clé],Seuils[clé],Seuils[limite])</f>
        <v/>
      </c>
      <c r="M109">
        <f>XLOOKUP([@clé],Seuils[clé],Seuils[direction])</f>
        <v/>
      </c>
      <c r="N109">
        <f>IF([@direction]="&lt;=",[@value]&lt;=[@limite],[@value]&gt;=[@limite])</f>
        <v/>
      </c>
    </row>
    <row r="110">
      <c r="A110" t="inlineStr">
        <is>
          <t>medical-post-01-temperature-0000</t>
        </is>
      </c>
      <c r="B110" t="inlineStr">
        <is>
          <t>base-projetee-alpha</t>
        </is>
      </c>
      <c r="C110" t="inlineStr">
        <is>
          <t>medical-post-01</t>
        </is>
      </c>
      <c r="D110" t="inlineStr">
        <is>
          <t>medical_post</t>
        </is>
      </c>
      <c r="E110" t="inlineStr">
        <is>
          <t>temperature</t>
        </is>
      </c>
      <c r="F110" s="2" t="n">
        <v>46335.25</v>
      </c>
      <c r="G110" t="n">
        <v>22</v>
      </c>
      <c r="H110" t="inlineStr">
        <is>
          <t>celsius</t>
        </is>
      </c>
      <c r="I110" t="n">
        <v>0</v>
      </c>
      <c r="J110" t="inlineStr">
        <is>
          <t>airbase/batch005/medical-post-01/temperature/0000</t>
        </is>
      </c>
      <c r="K110">
        <f>[@asset_type]&amp;"|"&amp;[@sensor]</f>
        <v/>
      </c>
      <c r="L110">
        <f>XLOOKUP([@clé],Seuils[clé],Seuils[limite])</f>
        <v/>
      </c>
      <c r="M110">
        <f>XLOOKUP([@clé],Seuils[clé],Seuils[direction])</f>
        <v/>
      </c>
      <c r="N110">
        <f>IF([@direction]="&lt;=",[@value]&lt;=[@limite],[@value]&gt;=[@limite])</f>
        <v/>
      </c>
    </row>
    <row r="111">
      <c r="A111" t="inlineStr">
        <is>
          <t>medical-post-01-temperature-0001</t>
        </is>
      </c>
      <c r="B111" t="inlineStr">
        <is>
          <t>base-projetee-alpha</t>
        </is>
      </c>
      <c r="C111" t="inlineStr">
        <is>
          <t>medical-post-01</t>
        </is>
      </c>
      <c r="D111" t="inlineStr">
        <is>
          <t>medical_post</t>
        </is>
      </c>
      <c r="E111" t="inlineStr">
        <is>
          <t>temperature</t>
        </is>
      </c>
      <c r="F111" s="2" t="n">
        <v>46335.5</v>
      </c>
      <c r="G111" t="n">
        <v>23</v>
      </c>
      <c r="H111" t="inlineStr">
        <is>
          <t>celsius</t>
        </is>
      </c>
      <c r="I111" t="n">
        <v>1</v>
      </c>
      <c r="J111" t="inlineStr">
        <is>
          <t>airbase/batch005/medical-post-01/temperature/0001</t>
        </is>
      </c>
      <c r="K111">
        <f>[@asset_type]&amp;"|"&amp;[@sensor]</f>
        <v/>
      </c>
      <c r="L111">
        <f>XLOOKUP([@clé],Seuils[clé],Seuils[limite])</f>
        <v/>
      </c>
      <c r="M111">
        <f>XLOOKUP([@clé],Seuils[clé],Seuils[direction])</f>
        <v/>
      </c>
      <c r="N111">
        <f>IF([@direction]="&lt;=",[@value]&lt;=[@limite],[@value]&gt;=[@limite])</f>
        <v/>
      </c>
    </row>
    <row r="112">
      <c r="A112" t="inlineStr">
        <is>
          <t>medical-post-01-temperature-0002</t>
        </is>
      </c>
      <c r="B112" t="inlineStr">
        <is>
          <t>base-projetee-alpha</t>
        </is>
      </c>
      <c r="C112" t="inlineStr">
        <is>
          <t>medical-post-01</t>
        </is>
      </c>
      <c r="D112" t="inlineStr">
        <is>
          <t>medical_post</t>
        </is>
      </c>
      <c r="E112" t="inlineStr">
        <is>
          <t>temperature</t>
        </is>
      </c>
      <c r="F112" s="2" t="n">
        <v>46335.75</v>
      </c>
      <c r="G112" t="n">
        <v>23.4</v>
      </c>
      <c r="H112" t="inlineStr">
        <is>
          <t>celsius</t>
        </is>
      </c>
      <c r="I112" t="n">
        <v>2</v>
      </c>
      <c r="J112" t="inlineStr">
        <is>
          <t>airbase/batch005/medical-post-01/temperature/0002</t>
        </is>
      </c>
      <c r="K112">
        <f>[@asset_type]&amp;"|"&amp;[@sensor]</f>
        <v/>
      </c>
      <c r="L112">
        <f>XLOOKUP([@clé],Seuils[clé],Seuils[limite])</f>
        <v/>
      </c>
      <c r="M112">
        <f>XLOOKUP([@clé],Seuils[clé],Seuils[direction])</f>
        <v/>
      </c>
      <c r="N112">
        <f>IF([@direction]="&lt;=",[@value]&lt;=[@limite],[@value]&gt;=[@limite])</f>
        <v/>
      </c>
    </row>
    <row r="113">
      <c r="A113" t="inlineStr">
        <is>
          <t>medical-post-01-temperature-0003</t>
        </is>
      </c>
      <c r="B113" t="inlineStr">
        <is>
          <t>base-projetee-alpha</t>
        </is>
      </c>
      <c r="C113" t="inlineStr">
        <is>
          <t>medical-post-01</t>
        </is>
      </c>
      <c r="D113" t="inlineStr">
        <is>
          <t>medical_post</t>
        </is>
      </c>
      <c r="E113" t="inlineStr">
        <is>
          <t>temperature</t>
        </is>
      </c>
      <c r="F113" s="2" t="n">
        <v>46335.95833333334</v>
      </c>
      <c r="G113" t="n">
        <v>22.8</v>
      </c>
      <c r="H113" t="inlineStr">
        <is>
          <t>celsius</t>
        </is>
      </c>
      <c r="I113" t="n">
        <v>3</v>
      </c>
      <c r="J113" t="inlineStr">
        <is>
          <t>airbase/batch005/medical-post-01/temperature/0003</t>
        </is>
      </c>
      <c r="K113">
        <f>[@asset_type]&amp;"|"&amp;[@sensor]</f>
        <v/>
      </c>
      <c r="L113">
        <f>XLOOKUP([@clé],Seuils[clé],Seuils[limite])</f>
        <v/>
      </c>
      <c r="M113">
        <f>XLOOKUP([@clé],Seuils[clé],Seuils[direction])</f>
        <v/>
      </c>
      <c r="N113">
        <f>IF([@direction]="&lt;=",[@value]&lt;=[@limite],[@value]&gt;=[@limite])</f>
        <v/>
      </c>
    </row>
    <row r="114">
      <c r="A114" t="inlineStr">
        <is>
          <t>medical-post-01-temperature-0004</t>
        </is>
      </c>
      <c r="B114" t="inlineStr">
        <is>
          <t>base-projetee-alpha</t>
        </is>
      </c>
      <c r="C114" t="inlineStr">
        <is>
          <t>medical-post-01</t>
        </is>
      </c>
      <c r="D114" t="inlineStr">
        <is>
          <t>medical_post</t>
        </is>
      </c>
      <c r="E114" t="inlineStr">
        <is>
          <t>temperature</t>
        </is>
      </c>
      <c r="F114" s="2" t="n">
        <v>46336.25</v>
      </c>
      <c r="G114" t="n">
        <v>22.2</v>
      </c>
      <c r="H114" t="inlineStr">
        <is>
          <t>celsius</t>
        </is>
      </c>
      <c r="I114" t="n">
        <v>4</v>
      </c>
      <c r="J114" t="inlineStr">
        <is>
          <t>airbase/batch005/medical-post-01/temperature/0004</t>
        </is>
      </c>
      <c r="K114">
        <f>[@asset_type]&amp;"|"&amp;[@sensor]</f>
        <v/>
      </c>
      <c r="L114">
        <f>XLOOKUP([@clé],Seuils[clé],Seuils[limite])</f>
        <v/>
      </c>
      <c r="M114">
        <f>XLOOKUP([@clé],Seuils[clé],Seuils[direction])</f>
        <v/>
      </c>
      <c r="N114">
        <f>IF([@direction]="&lt;=",[@value]&lt;=[@limite],[@value]&gt;=[@limite])</f>
        <v/>
      </c>
    </row>
    <row r="115">
      <c r="A115" t="inlineStr">
        <is>
          <t>medical-post-01-temperature-0005</t>
        </is>
      </c>
      <c r="B115" t="inlineStr">
        <is>
          <t>base-projetee-alpha</t>
        </is>
      </c>
      <c r="C115" t="inlineStr">
        <is>
          <t>medical-post-01</t>
        </is>
      </c>
      <c r="D115" t="inlineStr">
        <is>
          <t>medical_post</t>
        </is>
      </c>
      <c r="E115" t="inlineStr">
        <is>
          <t>temperature</t>
        </is>
      </c>
      <c r="F115" s="2" t="n">
        <v>46336.5</v>
      </c>
      <c r="G115" t="n">
        <v>23.2</v>
      </c>
      <c r="H115" t="inlineStr">
        <is>
          <t>celsius</t>
        </is>
      </c>
      <c r="I115" t="n">
        <v>5</v>
      </c>
      <c r="J115" t="inlineStr">
        <is>
          <t>airbase/batch005/medical-post-01/temperature/0005</t>
        </is>
      </c>
      <c r="K115">
        <f>[@asset_type]&amp;"|"&amp;[@sensor]</f>
        <v/>
      </c>
      <c r="L115">
        <f>XLOOKUP([@clé],Seuils[clé],Seuils[limite])</f>
        <v/>
      </c>
      <c r="M115">
        <f>XLOOKUP([@clé],Seuils[clé],Seuils[direction])</f>
        <v/>
      </c>
      <c r="N115">
        <f>IF([@direction]="&lt;=",[@value]&lt;=[@limite],[@value]&gt;=[@limite])</f>
        <v/>
      </c>
    </row>
    <row r="116">
      <c r="A116" t="inlineStr">
        <is>
          <t>medical-post-01-temperature-0006</t>
        </is>
      </c>
      <c r="B116" t="inlineStr">
        <is>
          <t>base-projetee-alpha</t>
        </is>
      </c>
      <c r="C116" t="inlineStr">
        <is>
          <t>medical-post-01</t>
        </is>
      </c>
      <c r="D116" t="inlineStr">
        <is>
          <t>medical_post</t>
        </is>
      </c>
      <c r="E116" t="inlineStr">
        <is>
          <t>temperature</t>
        </is>
      </c>
      <c r="F116" s="2" t="n">
        <v>46336.75</v>
      </c>
      <c r="G116" t="n">
        <v>23.6</v>
      </c>
      <c r="H116" t="inlineStr">
        <is>
          <t>celsius</t>
        </is>
      </c>
      <c r="I116" t="n">
        <v>6</v>
      </c>
      <c r="J116" t="inlineStr">
        <is>
          <t>airbase/batch005/medical-post-01/temperature/0006</t>
        </is>
      </c>
      <c r="K116">
        <f>[@asset_type]&amp;"|"&amp;[@sensor]</f>
        <v/>
      </c>
      <c r="L116">
        <f>XLOOKUP([@clé],Seuils[clé],Seuils[limite])</f>
        <v/>
      </c>
      <c r="M116">
        <f>XLOOKUP([@clé],Seuils[clé],Seuils[direction])</f>
        <v/>
      </c>
      <c r="N116">
        <f>IF([@direction]="&lt;=",[@value]&lt;=[@limite],[@value]&gt;=[@limite])</f>
        <v/>
      </c>
    </row>
    <row r="117">
      <c r="A117" t="inlineStr">
        <is>
          <t>medical-post-01-temperature-0007</t>
        </is>
      </c>
      <c r="B117" t="inlineStr">
        <is>
          <t>base-projetee-alpha</t>
        </is>
      </c>
      <c r="C117" t="inlineStr">
        <is>
          <t>medical-post-01</t>
        </is>
      </c>
      <c r="D117" t="inlineStr">
        <is>
          <t>medical_post</t>
        </is>
      </c>
      <c r="E117" t="inlineStr">
        <is>
          <t>temperature</t>
        </is>
      </c>
      <c r="F117" s="2" t="n">
        <v>46336.95833333334</v>
      </c>
      <c r="G117" t="n">
        <v>23</v>
      </c>
      <c r="H117" t="inlineStr">
        <is>
          <t>celsius</t>
        </is>
      </c>
      <c r="I117" t="n">
        <v>7</v>
      </c>
      <c r="J117" t="inlineStr">
        <is>
          <t>airbase/batch005/medical-post-01/temperature/0007</t>
        </is>
      </c>
      <c r="K117">
        <f>[@asset_type]&amp;"|"&amp;[@sensor]</f>
        <v/>
      </c>
      <c r="L117">
        <f>XLOOKUP([@clé],Seuils[clé],Seuils[limite])</f>
        <v/>
      </c>
      <c r="M117">
        <f>XLOOKUP([@clé],Seuils[clé],Seuils[direction])</f>
        <v/>
      </c>
      <c r="N117">
        <f>IF([@direction]="&lt;=",[@value]&lt;=[@limite],[@value]&gt;=[@limite])</f>
        <v/>
      </c>
    </row>
    <row r="118">
      <c r="A118" t="inlineStr">
        <is>
          <t>medical-post-01-temperature-0008</t>
        </is>
      </c>
      <c r="B118" t="inlineStr">
        <is>
          <t>base-projetee-alpha</t>
        </is>
      </c>
      <c r="C118" t="inlineStr">
        <is>
          <t>medical-post-01</t>
        </is>
      </c>
      <c r="D118" t="inlineStr">
        <is>
          <t>medical_post</t>
        </is>
      </c>
      <c r="E118" t="inlineStr">
        <is>
          <t>temperature</t>
        </is>
      </c>
      <c r="F118" s="2" t="n">
        <v>46337.25</v>
      </c>
      <c r="G118" t="n">
        <v>22.4</v>
      </c>
      <c r="H118" t="inlineStr">
        <is>
          <t>celsius</t>
        </is>
      </c>
      <c r="I118" t="n">
        <v>8</v>
      </c>
      <c r="J118" t="inlineStr">
        <is>
          <t>airbase/batch005/medical-post-01/temperature/0008</t>
        </is>
      </c>
      <c r="K118">
        <f>[@asset_type]&amp;"|"&amp;[@sensor]</f>
        <v/>
      </c>
      <c r="L118">
        <f>XLOOKUP([@clé],Seuils[clé],Seuils[limite])</f>
        <v/>
      </c>
      <c r="M118">
        <f>XLOOKUP([@clé],Seuils[clé],Seuils[direction])</f>
        <v/>
      </c>
      <c r="N118">
        <f>IF([@direction]="&lt;=",[@value]&lt;=[@limite],[@value]&gt;=[@limite])</f>
        <v/>
      </c>
    </row>
    <row r="119">
      <c r="A119" t="inlineStr">
        <is>
          <t>medical-post-01-temperature-0009</t>
        </is>
      </c>
      <c r="B119" t="inlineStr">
        <is>
          <t>base-projetee-alpha</t>
        </is>
      </c>
      <c r="C119" t="inlineStr">
        <is>
          <t>medical-post-01</t>
        </is>
      </c>
      <c r="D119" t="inlineStr">
        <is>
          <t>medical_post</t>
        </is>
      </c>
      <c r="E119" t="inlineStr">
        <is>
          <t>temperature</t>
        </is>
      </c>
      <c r="F119" s="2" t="n">
        <v>46337.5</v>
      </c>
      <c r="G119" t="n">
        <v>23.4</v>
      </c>
      <c r="H119" t="inlineStr">
        <is>
          <t>celsius</t>
        </is>
      </c>
      <c r="I119" t="n">
        <v>9</v>
      </c>
      <c r="J119" t="inlineStr">
        <is>
          <t>airbase/batch005/medical-post-01/temperature/0009</t>
        </is>
      </c>
      <c r="K119">
        <f>[@asset_type]&amp;"|"&amp;[@sensor]</f>
        <v/>
      </c>
      <c r="L119">
        <f>XLOOKUP([@clé],Seuils[clé],Seuils[limite])</f>
        <v/>
      </c>
      <c r="M119">
        <f>XLOOKUP([@clé],Seuils[clé],Seuils[direction])</f>
        <v/>
      </c>
      <c r="N119">
        <f>IF([@direction]="&lt;=",[@value]&lt;=[@limite],[@value]&gt;=[@limite])</f>
        <v/>
      </c>
    </row>
    <row r="120">
      <c r="A120" t="inlineStr">
        <is>
          <t>medical-post-01-temperature-0010</t>
        </is>
      </c>
      <c r="B120" t="inlineStr">
        <is>
          <t>base-projetee-alpha</t>
        </is>
      </c>
      <c r="C120" t="inlineStr">
        <is>
          <t>medical-post-01</t>
        </is>
      </c>
      <c r="D120" t="inlineStr">
        <is>
          <t>medical_post</t>
        </is>
      </c>
      <c r="E120" t="inlineStr">
        <is>
          <t>temperature</t>
        </is>
      </c>
      <c r="F120" s="2" t="n">
        <v>46337.75</v>
      </c>
      <c r="G120" t="n">
        <v>23.8</v>
      </c>
      <c r="H120" t="inlineStr">
        <is>
          <t>celsius</t>
        </is>
      </c>
      <c r="I120" t="n">
        <v>10</v>
      </c>
      <c r="J120" t="inlineStr">
        <is>
          <t>airbase/batch005/medical-post-01/temperature/0010</t>
        </is>
      </c>
      <c r="K120">
        <f>[@asset_type]&amp;"|"&amp;[@sensor]</f>
        <v/>
      </c>
      <c r="L120">
        <f>XLOOKUP([@clé],Seuils[clé],Seuils[limite])</f>
        <v/>
      </c>
      <c r="M120">
        <f>XLOOKUP([@clé],Seuils[clé],Seuils[direction])</f>
        <v/>
      </c>
      <c r="N120">
        <f>IF([@direction]="&lt;=",[@value]&lt;=[@limite],[@value]&gt;=[@limite])</f>
        <v/>
      </c>
    </row>
    <row r="121">
      <c r="A121" t="inlineStr">
        <is>
          <t>medical-post-01-temperature-0011</t>
        </is>
      </c>
      <c r="B121" t="inlineStr">
        <is>
          <t>base-projetee-alpha</t>
        </is>
      </c>
      <c r="C121" t="inlineStr">
        <is>
          <t>medical-post-01</t>
        </is>
      </c>
      <c r="D121" t="inlineStr">
        <is>
          <t>medical_post</t>
        </is>
      </c>
      <c r="E121" t="inlineStr">
        <is>
          <t>temperature</t>
        </is>
      </c>
      <c r="F121" s="2" t="n">
        <v>46337.95833333334</v>
      </c>
      <c r="G121" t="n">
        <v>23.2</v>
      </c>
      <c r="H121" t="inlineStr">
        <is>
          <t>celsius</t>
        </is>
      </c>
      <c r="I121" t="n">
        <v>11</v>
      </c>
      <c r="J121" t="inlineStr">
        <is>
          <t>airbase/batch005/medical-post-01/temperature/0011</t>
        </is>
      </c>
      <c r="K121">
        <f>[@asset_type]&amp;"|"&amp;[@sensor]</f>
        <v/>
      </c>
      <c r="L121">
        <f>XLOOKUP([@clé],Seuils[clé],Seuils[limite])</f>
        <v/>
      </c>
      <c r="M121">
        <f>XLOOKUP([@clé],Seuils[clé],Seuils[direction])</f>
        <v/>
      </c>
      <c r="N121">
        <f>IF([@direction]="&lt;=",[@value]&lt;=[@limite],[@value]&gt;=[@limite])</f>
        <v/>
      </c>
    </row>
    <row r="122">
      <c r="A122" t="inlineStr">
        <is>
          <t>optronics-shelter-01-humidity-0000</t>
        </is>
      </c>
      <c r="B122" t="inlineStr">
        <is>
          <t>base-projetee-alpha</t>
        </is>
      </c>
      <c r="C122" t="inlineStr">
        <is>
          <t>optronics-shelter-01</t>
        </is>
      </c>
      <c r="D122" t="inlineStr">
        <is>
          <t>optronics</t>
        </is>
      </c>
      <c r="E122" t="inlineStr">
        <is>
          <t>humidity</t>
        </is>
      </c>
      <c r="F122" s="2" t="n">
        <v>46335.25</v>
      </c>
      <c r="G122" t="n">
        <v>41</v>
      </c>
      <c r="H122" t="inlineStr">
        <is>
          <t>percent</t>
        </is>
      </c>
      <c r="I122" t="n">
        <v>0</v>
      </c>
      <c r="J122" t="inlineStr">
        <is>
          <t>airbase/batch005/optronics-shelter-01/humidity/0000</t>
        </is>
      </c>
      <c r="K122">
        <f>[@asset_type]&amp;"|"&amp;[@sensor]</f>
        <v/>
      </c>
      <c r="L122">
        <f>XLOOKUP([@clé],Seuils[clé],Seuils[limite])</f>
        <v/>
      </c>
      <c r="M122">
        <f>XLOOKUP([@clé],Seuils[clé],Seuils[direction])</f>
        <v/>
      </c>
      <c r="N122">
        <f>IF([@direction]="&lt;=",[@value]&lt;=[@limite],[@value]&gt;=[@limite])</f>
        <v/>
      </c>
    </row>
    <row r="123">
      <c r="A123" t="inlineStr">
        <is>
          <t>optronics-shelter-01-humidity-0001</t>
        </is>
      </c>
      <c r="B123" t="inlineStr">
        <is>
          <t>base-projetee-alpha</t>
        </is>
      </c>
      <c r="C123" t="inlineStr">
        <is>
          <t>optronics-shelter-01</t>
        </is>
      </c>
      <c r="D123" t="inlineStr">
        <is>
          <t>optronics</t>
        </is>
      </c>
      <c r="E123" t="inlineStr">
        <is>
          <t>humidity</t>
        </is>
      </c>
      <c r="F123" s="2" t="n">
        <v>46335.5</v>
      </c>
      <c r="G123" t="n">
        <v>43</v>
      </c>
      <c r="H123" t="inlineStr">
        <is>
          <t>percent</t>
        </is>
      </c>
      <c r="I123" t="n">
        <v>1</v>
      </c>
      <c r="J123" t="inlineStr">
        <is>
          <t>airbase/batch005/optronics-shelter-01/humidity/0001</t>
        </is>
      </c>
      <c r="K123">
        <f>[@asset_type]&amp;"|"&amp;[@sensor]</f>
        <v/>
      </c>
      <c r="L123">
        <f>XLOOKUP([@clé],Seuils[clé],Seuils[limite])</f>
        <v/>
      </c>
      <c r="M123">
        <f>XLOOKUP([@clé],Seuils[clé],Seuils[direction])</f>
        <v/>
      </c>
      <c r="N123">
        <f>IF([@direction]="&lt;=",[@value]&lt;=[@limite],[@value]&gt;=[@limite])</f>
        <v/>
      </c>
    </row>
    <row r="124">
      <c r="A124" t="inlineStr">
        <is>
          <t>optronics-shelter-01-humidity-0002</t>
        </is>
      </c>
      <c r="B124" t="inlineStr">
        <is>
          <t>base-projetee-alpha</t>
        </is>
      </c>
      <c r="C124" t="inlineStr">
        <is>
          <t>optronics-shelter-01</t>
        </is>
      </c>
      <c r="D124" t="inlineStr">
        <is>
          <t>optronics</t>
        </is>
      </c>
      <c r="E124" t="inlineStr">
        <is>
          <t>humidity</t>
        </is>
      </c>
      <c r="F124" s="2" t="n">
        <v>46335.75</v>
      </c>
      <c r="G124" t="n">
        <v>45</v>
      </c>
      <c r="H124" t="inlineStr">
        <is>
          <t>percent</t>
        </is>
      </c>
      <c r="I124" t="n">
        <v>2</v>
      </c>
      <c r="J124" t="inlineStr">
        <is>
          <t>airbase/batch005/optronics-shelter-01/humidity/0002</t>
        </is>
      </c>
      <c r="K124">
        <f>[@asset_type]&amp;"|"&amp;[@sensor]</f>
        <v/>
      </c>
      <c r="L124">
        <f>XLOOKUP([@clé],Seuils[clé],Seuils[limite])</f>
        <v/>
      </c>
      <c r="M124">
        <f>XLOOKUP([@clé],Seuils[clé],Seuils[direction])</f>
        <v/>
      </c>
      <c r="N124">
        <f>IF([@direction]="&lt;=",[@value]&lt;=[@limite],[@value]&gt;=[@limite])</f>
        <v/>
      </c>
    </row>
    <row r="125">
      <c r="A125" t="inlineStr">
        <is>
          <t>optronics-shelter-01-humidity-0003</t>
        </is>
      </c>
      <c r="B125" t="inlineStr">
        <is>
          <t>base-projetee-alpha</t>
        </is>
      </c>
      <c r="C125" t="inlineStr">
        <is>
          <t>optronics-shelter-01</t>
        </is>
      </c>
      <c r="D125" t="inlineStr">
        <is>
          <t>optronics</t>
        </is>
      </c>
      <c r="E125" t="inlineStr">
        <is>
          <t>humidity</t>
        </is>
      </c>
      <c r="F125" s="2" t="n">
        <v>46335.95833333334</v>
      </c>
      <c r="G125" t="n">
        <v>42</v>
      </c>
      <c r="H125" t="inlineStr">
        <is>
          <t>percent</t>
        </is>
      </c>
      <c r="I125" t="n">
        <v>3</v>
      </c>
      <c r="J125" t="inlineStr">
        <is>
          <t>airbase/batch005/optronics-shelter-01/humidity/0003</t>
        </is>
      </c>
      <c r="K125">
        <f>[@asset_type]&amp;"|"&amp;[@sensor]</f>
        <v/>
      </c>
      <c r="L125">
        <f>XLOOKUP([@clé],Seuils[clé],Seuils[limite])</f>
        <v/>
      </c>
      <c r="M125">
        <f>XLOOKUP([@clé],Seuils[clé],Seuils[direction])</f>
        <v/>
      </c>
      <c r="N125">
        <f>IF([@direction]="&lt;=",[@value]&lt;=[@limite],[@value]&gt;=[@limite])</f>
        <v/>
      </c>
    </row>
    <row r="126">
      <c r="A126" t="inlineStr">
        <is>
          <t>optronics-shelter-01-humidity-0004</t>
        </is>
      </c>
      <c r="B126" t="inlineStr">
        <is>
          <t>base-projetee-alpha</t>
        </is>
      </c>
      <c r="C126" t="inlineStr">
        <is>
          <t>optronics-shelter-01</t>
        </is>
      </c>
      <c r="D126" t="inlineStr">
        <is>
          <t>optronics</t>
        </is>
      </c>
      <c r="E126" t="inlineStr">
        <is>
          <t>humidity</t>
        </is>
      </c>
      <c r="F126" s="2" t="n">
        <v>46336.25</v>
      </c>
      <c r="G126" t="n">
        <v>41</v>
      </c>
      <c r="H126" t="inlineStr">
        <is>
          <t>percent</t>
        </is>
      </c>
      <c r="I126" t="n">
        <v>4</v>
      </c>
      <c r="J126" t="inlineStr">
        <is>
          <t>airbase/batch005/optronics-shelter-01/humidity/0004</t>
        </is>
      </c>
      <c r="K126">
        <f>[@asset_type]&amp;"|"&amp;[@sensor]</f>
        <v/>
      </c>
      <c r="L126">
        <f>XLOOKUP([@clé],Seuils[clé],Seuils[limite])</f>
        <v/>
      </c>
      <c r="M126">
        <f>XLOOKUP([@clé],Seuils[clé],Seuils[direction])</f>
        <v/>
      </c>
      <c r="N126">
        <f>IF([@direction]="&lt;=",[@value]&lt;=[@limite],[@value]&gt;=[@limite])</f>
        <v/>
      </c>
    </row>
    <row r="127">
      <c r="A127" t="inlineStr">
        <is>
          <t>optronics-shelter-01-humidity-0005</t>
        </is>
      </c>
      <c r="B127" t="inlineStr">
        <is>
          <t>base-projetee-alpha</t>
        </is>
      </c>
      <c r="C127" t="inlineStr">
        <is>
          <t>optronics-shelter-01</t>
        </is>
      </c>
      <c r="D127" t="inlineStr">
        <is>
          <t>optronics</t>
        </is>
      </c>
      <c r="E127" t="inlineStr">
        <is>
          <t>humidity</t>
        </is>
      </c>
      <c r="F127" s="2" t="n">
        <v>46336.5</v>
      </c>
      <c r="G127" t="n">
        <v>44</v>
      </c>
      <c r="H127" t="inlineStr">
        <is>
          <t>percent</t>
        </is>
      </c>
      <c r="I127" t="n">
        <v>5</v>
      </c>
      <c r="J127" t="inlineStr">
        <is>
          <t>airbase/batch005/optronics-shelter-01/humidity/0005</t>
        </is>
      </c>
      <c r="K127">
        <f>[@asset_type]&amp;"|"&amp;[@sensor]</f>
        <v/>
      </c>
      <c r="L127">
        <f>XLOOKUP([@clé],Seuils[clé],Seuils[limite])</f>
        <v/>
      </c>
      <c r="M127">
        <f>XLOOKUP([@clé],Seuils[clé],Seuils[direction])</f>
        <v/>
      </c>
      <c r="N127">
        <f>IF([@direction]="&lt;=",[@value]&lt;=[@limite],[@value]&gt;=[@limite])</f>
        <v/>
      </c>
    </row>
    <row r="128">
      <c r="A128" t="inlineStr">
        <is>
          <t>optronics-shelter-01-humidity-0006</t>
        </is>
      </c>
      <c r="B128" t="inlineStr">
        <is>
          <t>base-projetee-alpha</t>
        </is>
      </c>
      <c r="C128" t="inlineStr">
        <is>
          <t>optronics-shelter-01</t>
        </is>
      </c>
      <c r="D128" t="inlineStr">
        <is>
          <t>optronics</t>
        </is>
      </c>
      <c r="E128" t="inlineStr">
        <is>
          <t>humidity</t>
        </is>
      </c>
      <c r="F128" s="2" t="n">
        <v>46336.75</v>
      </c>
      <c r="G128" t="n">
        <v>46</v>
      </c>
      <c r="H128" t="inlineStr">
        <is>
          <t>percent</t>
        </is>
      </c>
      <c r="I128" t="n">
        <v>6</v>
      </c>
      <c r="J128" t="inlineStr">
        <is>
          <t>airbase/batch005/optronics-shelter-01/humidity/0006</t>
        </is>
      </c>
      <c r="K128">
        <f>[@asset_type]&amp;"|"&amp;[@sensor]</f>
        <v/>
      </c>
      <c r="L128">
        <f>XLOOKUP([@clé],Seuils[clé],Seuils[limite])</f>
        <v/>
      </c>
      <c r="M128">
        <f>XLOOKUP([@clé],Seuils[clé],Seuils[direction])</f>
        <v/>
      </c>
      <c r="N128">
        <f>IF([@direction]="&lt;=",[@value]&lt;=[@limite],[@value]&gt;=[@limite])</f>
        <v/>
      </c>
    </row>
    <row r="129">
      <c r="A129" t="inlineStr">
        <is>
          <t>optronics-shelter-01-humidity-0007</t>
        </is>
      </c>
      <c r="B129" t="inlineStr">
        <is>
          <t>base-projetee-alpha</t>
        </is>
      </c>
      <c r="C129" t="inlineStr">
        <is>
          <t>optronics-shelter-01</t>
        </is>
      </c>
      <c r="D129" t="inlineStr">
        <is>
          <t>optronics</t>
        </is>
      </c>
      <c r="E129" t="inlineStr">
        <is>
          <t>humidity</t>
        </is>
      </c>
      <c r="F129" s="2" t="n">
        <v>46336.95833333334</v>
      </c>
      <c r="G129" t="n">
        <v>43</v>
      </c>
      <c r="H129" t="inlineStr">
        <is>
          <t>percent</t>
        </is>
      </c>
      <c r="I129" t="n">
        <v>7</v>
      </c>
      <c r="J129" t="inlineStr">
        <is>
          <t>airbase/batch005/optronics-shelter-01/humidity/0007</t>
        </is>
      </c>
      <c r="K129">
        <f>[@asset_type]&amp;"|"&amp;[@sensor]</f>
        <v/>
      </c>
      <c r="L129">
        <f>XLOOKUP([@clé],Seuils[clé],Seuils[limite])</f>
        <v/>
      </c>
      <c r="M129">
        <f>XLOOKUP([@clé],Seuils[clé],Seuils[direction])</f>
        <v/>
      </c>
      <c r="N129">
        <f>IF([@direction]="&lt;=",[@value]&lt;=[@limite],[@value]&gt;=[@limite])</f>
        <v/>
      </c>
    </row>
    <row r="130">
      <c r="A130" t="inlineStr">
        <is>
          <t>optronics-shelter-01-humidity-0008</t>
        </is>
      </c>
      <c r="B130" t="inlineStr">
        <is>
          <t>base-projetee-alpha</t>
        </is>
      </c>
      <c r="C130" t="inlineStr">
        <is>
          <t>optronics-shelter-01</t>
        </is>
      </c>
      <c r="D130" t="inlineStr">
        <is>
          <t>optronics</t>
        </is>
      </c>
      <c r="E130" t="inlineStr">
        <is>
          <t>humidity</t>
        </is>
      </c>
      <c r="F130" s="2" t="n">
        <v>46337.25</v>
      </c>
      <c r="G130" t="n">
        <v>42</v>
      </c>
      <c r="H130" t="inlineStr">
        <is>
          <t>percent</t>
        </is>
      </c>
      <c r="I130" t="n">
        <v>8</v>
      </c>
      <c r="J130" t="inlineStr">
        <is>
          <t>airbase/batch005/optronics-shelter-01/humidity/0008</t>
        </is>
      </c>
      <c r="K130">
        <f>[@asset_type]&amp;"|"&amp;[@sensor]</f>
        <v/>
      </c>
      <c r="L130">
        <f>XLOOKUP([@clé],Seuils[clé],Seuils[limite])</f>
        <v/>
      </c>
      <c r="M130">
        <f>XLOOKUP([@clé],Seuils[clé],Seuils[direction])</f>
        <v/>
      </c>
      <c r="N130">
        <f>IF([@direction]="&lt;=",[@value]&lt;=[@limite],[@value]&gt;=[@limite])</f>
        <v/>
      </c>
    </row>
    <row r="131">
      <c r="A131" t="inlineStr">
        <is>
          <t>optronics-shelter-01-humidity-0009</t>
        </is>
      </c>
      <c r="B131" t="inlineStr">
        <is>
          <t>base-projetee-alpha</t>
        </is>
      </c>
      <c r="C131" t="inlineStr">
        <is>
          <t>optronics-shelter-01</t>
        </is>
      </c>
      <c r="D131" t="inlineStr">
        <is>
          <t>optronics</t>
        </is>
      </c>
      <c r="E131" t="inlineStr">
        <is>
          <t>humidity</t>
        </is>
      </c>
      <c r="F131" s="2" t="n">
        <v>46337.5</v>
      </c>
      <c r="G131" t="n">
        <v>44</v>
      </c>
      <c r="H131" t="inlineStr">
        <is>
          <t>percent</t>
        </is>
      </c>
      <c r="I131" t="n">
        <v>9</v>
      </c>
      <c r="J131" t="inlineStr">
        <is>
          <t>airbase/batch005/optronics-shelter-01/humidity/0009</t>
        </is>
      </c>
      <c r="K131">
        <f>[@asset_type]&amp;"|"&amp;[@sensor]</f>
        <v/>
      </c>
      <c r="L131">
        <f>XLOOKUP([@clé],Seuils[clé],Seuils[limite])</f>
        <v/>
      </c>
      <c r="M131">
        <f>XLOOKUP([@clé],Seuils[clé],Seuils[direction])</f>
        <v/>
      </c>
      <c r="N131">
        <f>IF([@direction]="&lt;=",[@value]&lt;=[@limite],[@value]&gt;=[@limite])</f>
        <v/>
      </c>
    </row>
    <row r="132">
      <c r="A132" t="inlineStr">
        <is>
          <t>optronics-shelter-01-humidity-0010</t>
        </is>
      </c>
      <c r="B132" t="inlineStr">
        <is>
          <t>base-projetee-alpha</t>
        </is>
      </c>
      <c r="C132" t="inlineStr">
        <is>
          <t>optronics-shelter-01</t>
        </is>
      </c>
      <c r="D132" t="inlineStr">
        <is>
          <t>optronics</t>
        </is>
      </c>
      <c r="E132" t="inlineStr">
        <is>
          <t>humidity</t>
        </is>
      </c>
      <c r="F132" s="2" t="n">
        <v>46337.75</v>
      </c>
      <c r="G132" t="n">
        <v>46</v>
      </c>
      <c r="H132" t="inlineStr">
        <is>
          <t>percent</t>
        </is>
      </c>
      <c r="I132" t="n">
        <v>10</v>
      </c>
      <c r="J132" t="inlineStr">
        <is>
          <t>airbase/batch005/optronics-shelter-01/humidity/0010</t>
        </is>
      </c>
      <c r="K132">
        <f>[@asset_type]&amp;"|"&amp;[@sensor]</f>
        <v/>
      </c>
      <c r="L132">
        <f>XLOOKUP([@clé],Seuils[clé],Seuils[limite])</f>
        <v/>
      </c>
      <c r="M132">
        <f>XLOOKUP([@clé],Seuils[clé],Seuils[direction])</f>
        <v/>
      </c>
      <c r="N132">
        <f>IF([@direction]="&lt;=",[@value]&lt;=[@limite],[@value]&gt;=[@limite])</f>
        <v/>
      </c>
    </row>
    <row r="133">
      <c r="A133" t="inlineStr">
        <is>
          <t>optronics-shelter-01-humidity-0011</t>
        </is>
      </c>
      <c r="B133" t="inlineStr">
        <is>
          <t>base-projetee-alpha</t>
        </is>
      </c>
      <c r="C133" t="inlineStr">
        <is>
          <t>optronics-shelter-01</t>
        </is>
      </c>
      <c r="D133" t="inlineStr">
        <is>
          <t>optronics</t>
        </is>
      </c>
      <c r="E133" t="inlineStr">
        <is>
          <t>humidity</t>
        </is>
      </c>
      <c r="F133" s="2" t="n">
        <v>46337.95833333334</v>
      </c>
      <c r="G133" t="n">
        <v>43</v>
      </c>
      <c r="H133" t="inlineStr">
        <is>
          <t>percent</t>
        </is>
      </c>
      <c r="I133" t="n">
        <v>11</v>
      </c>
      <c r="J133" t="inlineStr">
        <is>
          <t>airbase/batch005/optronics-shelter-01/humidity/0011</t>
        </is>
      </c>
      <c r="K133">
        <f>[@asset_type]&amp;"|"&amp;[@sensor]</f>
        <v/>
      </c>
      <c r="L133">
        <f>XLOOKUP([@clé],Seuils[clé],Seuils[limite])</f>
        <v/>
      </c>
      <c r="M133">
        <f>XLOOKUP([@clé],Seuils[clé],Seuils[direction])</f>
        <v/>
      </c>
      <c r="N133">
        <f>IF([@direction]="&lt;=",[@value]&lt;=[@limite],[@value]&gt;=[@limite])</f>
        <v/>
      </c>
    </row>
    <row r="134">
      <c r="A134" t="inlineStr">
        <is>
          <t>optronics-shelter-01-temperature-0000</t>
        </is>
      </c>
      <c r="B134" t="inlineStr">
        <is>
          <t>base-projetee-alpha</t>
        </is>
      </c>
      <c r="C134" t="inlineStr">
        <is>
          <t>optronics-shelter-01</t>
        </is>
      </c>
      <c r="D134" t="inlineStr">
        <is>
          <t>optronics</t>
        </is>
      </c>
      <c r="E134" t="inlineStr">
        <is>
          <t>temperature</t>
        </is>
      </c>
      <c r="F134" s="2" t="n">
        <v>46335.25</v>
      </c>
      <c r="G134" t="n">
        <v>27.5</v>
      </c>
      <c r="H134" t="inlineStr">
        <is>
          <t>celsius</t>
        </is>
      </c>
      <c r="I134" t="n">
        <v>0</v>
      </c>
      <c r="J134" t="inlineStr">
        <is>
          <t>airbase/batch005/optronics-shelter-01/temperature/0000</t>
        </is>
      </c>
      <c r="K134">
        <f>[@asset_type]&amp;"|"&amp;[@sensor]</f>
        <v/>
      </c>
      <c r="L134">
        <f>XLOOKUP([@clé],Seuils[clé],Seuils[limite])</f>
        <v/>
      </c>
      <c r="M134">
        <f>XLOOKUP([@clé],Seuils[clé],Seuils[direction])</f>
        <v/>
      </c>
      <c r="N134">
        <f>IF([@direction]="&lt;=",[@value]&lt;=[@limite],[@value]&gt;=[@limite])</f>
        <v/>
      </c>
    </row>
    <row r="135">
      <c r="A135" t="inlineStr">
        <is>
          <t>optronics-shelter-01-temperature-0001</t>
        </is>
      </c>
      <c r="B135" t="inlineStr">
        <is>
          <t>base-projetee-alpha</t>
        </is>
      </c>
      <c r="C135" t="inlineStr">
        <is>
          <t>optronics-shelter-01</t>
        </is>
      </c>
      <c r="D135" t="inlineStr">
        <is>
          <t>optronics</t>
        </is>
      </c>
      <c r="E135" t="inlineStr">
        <is>
          <t>temperature</t>
        </is>
      </c>
      <c r="F135" s="2" t="n">
        <v>46335.5</v>
      </c>
      <c r="G135" t="n">
        <v>28</v>
      </c>
      <c r="H135" t="inlineStr">
        <is>
          <t>celsius</t>
        </is>
      </c>
      <c r="I135" t="n">
        <v>1</v>
      </c>
      <c r="J135" t="inlineStr">
        <is>
          <t>airbase/batch005/optronics-shelter-01/temperature/0001</t>
        </is>
      </c>
      <c r="K135">
        <f>[@asset_type]&amp;"|"&amp;[@sensor]</f>
        <v/>
      </c>
      <c r="L135">
        <f>XLOOKUP([@clé],Seuils[clé],Seuils[limite])</f>
        <v/>
      </c>
      <c r="M135">
        <f>XLOOKUP([@clé],Seuils[clé],Seuils[direction])</f>
        <v/>
      </c>
      <c r="N135">
        <f>IF([@direction]="&lt;=",[@value]&lt;=[@limite],[@value]&gt;=[@limite])</f>
        <v/>
      </c>
    </row>
    <row r="136">
      <c r="A136" t="inlineStr">
        <is>
          <t>optronics-shelter-01-temperature-0002</t>
        </is>
      </c>
      <c r="B136" t="inlineStr">
        <is>
          <t>base-projetee-alpha</t>
        </is>
      </c>
      <c r="C136" t="inlineStr">
        <is>
          <t>optronics-shelter-01</t>
        </is>
      </c>
      <c r="D136" t="inlineStr">
        <is>
          <t>optronics</t>
        </is>
      </c>
      <c r="E136" t="inlineStr">
        <is>
          <t>temperature</t>
        </is>
      </c>
      <c r="F136" s="2" t="n">
        <v>46335.75</v>
      </c>
      <c r="G136" t="n">
        <v>28.3</v>
      </c>
      <c r="H136" t="inlineStr">
        <is>
          <t>celsius</t>
        </is>
      </c>
      <c r="I136" t="n">
        <v>2</v>
      </c>
      <c r="J136" t="inlineStr">
        <is>
          <t>airbase/batch005/optronics-shelter-01/temperature/0002</t>
        </is>
      </c>
      <c r="K136">
        <f>[@asset_type]&amp;"|"&amp;[@sensor]</f>
        <v/>
      </c>
      <c r="L136">
        <f>XLOOKUP([@clé],Seuils[clé],Seuils[limite])</f>
        <v/>
      </c>
      <c r="M136">
        <f>XLOOKUP([@clé],Seuils[clé],Seuils[direction])</f>
        <v/>
      </c>
      <c r="N136">
        <f>IF([@direction]="&lt;=",[@value]&lt;=[@limite],[@value]&gt;=[@limite])</f>
        <v/>
      </c>
    </row>
    <row r="137">
      <c r="A137" t="inlineStr">
        <is>
          <t>optronics-shelter-01-temperature-0003</t>
        </is>
      </c>
      <c r="B137" t="inlineStr">
        <is>
          <t>base-projetee-alpha</t>
        </is>
      </c>
      <c r="C137" t="inlineStr">
        <is>
          <t>optronics-shelter-01</t>
        </is>
      </c>
      <c r="D137" t="inlineStr">
        <is>
          <t>optronics</t>
        </is>
      </c>
      <c r="E137" t="inlineStr">
        <is>
          <t>temperature</t>
        </is>
      </c>
      <c r="F137" s="2" t="n">
        <v>46335.95833333334</v>
      </c>
      <c r="G137" t="n">
        <v>27.9</v>
      </c>
      <c r="H137" t="inlineStr">
        <is>
          <t>celsius</t>
        </is>
      </c>
      <c r="I137" t="n">
        <v>3</v>
      </c>
      <c r="J137" t="inlineStr">
        <is>
          <t>airbase/batch005/optronics-shelter-01/temperature/0003</t>
        </is>
      </c>
      <c r="K137">
        <f>[@asset_type]&amp;"|"&amp;[@sensor]</f>
        <v/>
      </c>
      <c r="L137">
        <f>XLOOKUP([@clé],Seuils[clé],Seuils[limite])</f>
        <v/>
      </c>
      <c r="M137">
        <f>XLOOKUP([@clé],Seuils[clé],Seuils[direction])</f>
        <v/>
      </c>
      <c r="N137">
        <f>IF([@direction]="&lt;=",[@value]&lt;=[@limite],[@value]&gt;=[@limite])</f>
        <v/>
      </c>
    </row>
    <row r="138">
      <c r="A138" t="inlineStr">
        <is>
          <t>optronics-shelter-01-temperature-0004</t>
        </is>
      </c>
      <c r="B138" t="inlineStr">
        <is>
          <t>base-projetee-alpha</t>
        </is>
      </c>
      <c r="C138" t="inlineStr">
        <is>
          <t>optronics-shelter-01</t>
        </is>
      </c>
      <c r="D138" t="inlineStr">
        <is>
          <t>optronics</t>
        </is>
      </c>
      <c r="E138" t="inlineStr">
        <is>
          <t>temperature</t>
        </is>
      </c>
      <c r="F138" s="2" t="n">
        <v>46336.25</v>
      </c>
      <c r="G138" t="n">
        <v>27.6</v>
      </c>
      <c r="H138" t="inlineStr">
        <is>
          <t>celsius</t>
        </is>
      </c>
      <c r="I138" t="n">
        <v>4</v>
      </c>
      <c r="J138" t="inlineStr">
        <is>
          <t>airbase/batch005/optronics-shelter-01/temperature/0004</t>
        </is>
      </c>
      <c r="K138">
        <f>[@asset_type]&amp;"|"&amp;[@sensor]</f>
        <v/>
      </c>
      <c r="L138">
        <f>XLOOKUP([@clé],Seuils[clé],Seuils[limite])</f>
        <v/>
      </c>
      <c r="M138">
        <f>XLOOKUP([@clé],Seuils[clé],Seuils[direction])</f>
        <v/>
      </c>
      <c r="N138">
        <f>IF([@direction]="&lt;=",[@value]&lt;=[@limite],[@value]&gt;=[@limite])</f>
        <v/>
      </c>
    </row>
    <row r="139">
      <c r="A139" t="inlineStr">
        <is>
          <t>optronics-shelter-01-temperature-0005</t>
        </is>
      </c>
      <c r="B139" t="inlineStr">
        <is>
          <t>base-projetee-alpha</t>
        </is>
      </c>
      <c r="C139" t="inlineStr">
        <is>
          <t>optronics-shelter-01</t>
        </is>
      </c>
      <c r="D139" t="inlineStr">
        <is>
          <t>optronics</t>
        </is>
      </c>
      <c r="E139" t="inlineStr">
        <is>
          <t>temperature</t>
        </is>
      </c>
      <c r="F139" s="2" t="n">
        <v>46336.5</v>
      </c>
      <c r="G139" t="n">
        <v>28.1</v>
      </c>
      <c r="H139" t="inlineStr">
        <is>
          <t>celsius</t>
        </is>
      </c>
      <c r="I139" t="n">
        <v>5</v>
      </c>
      <c r="J139" t="inlineStr">
        <is>
          <t>airbase/batch005/optronics-shelter-01/temperature/0005</t>
        </is>
      </c>
      <c r="K139">
        <f>[@asset_type]&amp;"|"&amp;[@sensor]</f>
        <v/>
      </c>
      <c r="L139">
        <f>XLOOKUP([@clé],Seuils[clé],Seuils[limite])</f>
        <v/>
      </c>
      <c r="M139">
        <f>XLOOKUP([@clé],Seuils[clé],Seuils[direction])</f>
        <v/>
      </c>
      <c r="N139">
        <f>IF([@direction]="&lt;=",[@value]&lt;=[@limite],[@value]&gt;=[@limite])</f>
        <v/>
      </c>
    </row>
    <row r="140">
      <c r="A140" t="inlineStr">
        <is>
          <t>optronics-shelter-01-temperature-0006</t>
        </is>
      </c>
      <c r="B140" t="inlineStr">
        <is>
          <t>base-projetee-alpha</t>
        </is>
      </c>
      <c r="C140" t="inlineStr">
        <is>
          <t>optronics-shelter-01</t>
        </is>
      </c>
      <c r="D140" t="inlineStr">
        <is>
          <t>optronics</t>
        </is>
      </c>
      <c r="E140" t="inlineStr">
        <is>
          <t>temperature</t>
        </is>
      </c>
      <c r="F140" s="2" t="n">
        <v>46336.75</v>
      </c>
      <c r="G140" t="n">
        <v>28.4</v>
      </c>
      <c r="H140" t="inlineStr">
        <is>
          <t>celsius</t>
        </is>
      </c>
      <c r="I140" t="n">
        <v>6</v>
      </c>
      <c r="J140" t="inlineStr">
        <is>
          <t>airbase/batch005/optronics-shelter-01/temperature/0006</t>
        </is>
      </c>
      <c r="K140">
        <f>[@asset_type]&amp;"|"&amp;[@sensor]</f>
        <v/>
      </c>
      <c r="L140">
        <f>XLOOKUP([@clé],Seuils[clé],Seuils[limite])</f>
        <v/>
      </c>
      <c r="M140">
        <f>XLOOKUP([@clé],Seuils[clé],Seuils[direction])</f>
        <v/>
      </c>
      <c r="N140">
        <f>IF([@direction]="&lt;=",[@value]&lt;=[@limite],[@value]&gt;=[@limite])</f>
        <v/>
      </c>
    </row>
    <row r="141">
      <c r="A141" t="inlineStr">
        <is>
          <t>optronics-shelter-01-temperature-0007</t>
        </is>
      </c>
      <c r="B141" t="inlineStr">
        <is>
          <t>base-projetee-alpha</t>
        </is>
      </c>
      <c r="C141" t="inlineStr">
        <is>
          <t>optronics-shelter-01</t>
        </is>
      </c>
      <c r="D141" t="inlineStr">
        <is>
          <t>optronics</t>
        </is>
      </c>
      <c r="E141" t="inlineStr">
        <is>
          <t>temperature</t>
        </is>
      </c>
      <c r="F141" s="2" t="n">
        <v>46336.95833333334</v>
      </c>
      <c r="G141" t="n">
        <v>28</v>
      </c>
      <c r="H141" t="inlineStr">
        <is>
          <t>celsius</t>
        </is>
      </c>
      <c r="I141" t="n">
        <v>7</v>
      </c>
      <c r="J141" t="inlineStr">
        <is>
          <t>airbase/batch005/optronics-shelter-01/temperature/0007</t>
        </is>
      </c>
      <c r="K141">
        <f>[@asset_type]&amp;"|"&amp;[@sensor]</f>
        <v/>
      </c>
      <c r="L141">
        <f>XLOOKUP([@clé],Seuils[clé],Seuils[limite])</f>
        <v/>
      </c>
      <c r="M141">
        <f>XLOOKUP([@clé],Seuils[clé],Seuils[direction])</f>
        <v/>
      </c>
      <c r="N141">
        <f>IF([@direction]="&lt;=",[@value]&lt;=[@limite],[@value]&gt;=[@limite])</f>
        <v/>
      </c>
    </row>
    <row r="142">
      <c r="A142" t="inlineStr">
        <is>
          <t>optronics-shelter-01-temperature-0008</t>
        </is>
      </c>
      <c r="B142" t="inlineStr">
        <is>
          <t>base-projetee-alpha</t>
        </is>
      </c>
      <c r="C142" t="inlineStr">
        <is>
          <t>optronics-shelter-01</t>
        </is>
      </c>
      <c r="D142" t="inlineStr">
        <is>
          <t>optronics</t>
        </is>
      </c>
      <c r="E142" t="inlineStr">
        <is>
          <t>temperature</t>
        </is>
      </c>
      <c r="F142" s="2" t="n">
        <v>46337.25</v>
      </c>
      <c r="G142" t="n">
        <v>27.7</v>
      </c>
      <c r="H142" t="inlineStr">
        <is>
          <t>celsius</t>
        </is>
      </c>
      <c r="I142" t="n">
        <v>8</v>
      </c>
      <c r="J142" t="inlineStr">
        <is>
          <t>airbase/batch005/optronics-shelter-01/temperature/0008</t>
        </is>
      </c>
      <c r="K142">
        <f>[@asset_type]&amp;"|"&amp;[@sensor]</f>
        <v/>
      </c>
      <c r="L142">
        <f>XLOOKUP([@clé],Seuils[clé],Seuils[limite])</f>
        <v/>
      </c>
      <c r="M142">
        <f>XLOOKUP([@clé],Seuils[clé],Seuils[direction])</f>
        <v/>
      </c>
      <c r="N142">
        <f>IF([@direction]="&lt;=",[@value]&lt;=[@limite],[@value]&gt;=[@limite])</f>
        <v/>
      </c>
    </row>
    <row r="143">
      <c r="A143" t="inlineStr">
        <is>
          <t>optronics-shelter-01-temperature-0009</t>
        </is>
      </c>
      <c r="B143" t="inlineStr">
        <is>
          <t>base-projetee-alpha</t>
        </is>
      </c>
      <c r="C143" t="inlineStr">
        <is>
          <t>optronics-shelter-01</t>
        </is>
      </c>
      <c r="D143" t="inlineStr">
        <is>
          <t>optronics</t>
        </is>
      </c>
      <c r="E143" t="inlineStr">
        <is>
          <t>temperature</t>
        </is>
      </c>
      <c r="F143" s="2" t="n">
        <v>46337.5</v>
      </c>
      <c r="G143" t="n">
        <v>28.2</v>
      </c>
      <c r="H143" t="inlineStr">
        <is>
          <t>celsius</t>
        </is>
      </c>
      <c r="I143" t="n">
        <v>9</v>
      </c>
      <c r="J143" t="inlineStr">
        <is>
          <t>airbase/batch005/optronics-shelter-01/temperature/0009</t>
        </is>
      </c>
      <c r="K143">
        <f>[@asset_type]&amp;"|"&amp;[@sensor]</f>
        <v/>
      </c>
      <c r="L143">
        <f>XLOOKUP([@clé],Seuils[clé],Seuils[limite])</f>
        <v/>
      </c>
      <c r="M143">
        <f>XLOOKUP([@clé],Seuils[clé],Seuils[direction])</f>
        <v/>
      </c>
      <c r="N143">
        <f>IF([@direction]="&lt;=",[@value]&lt;=[@limite],[@value]&gt;=[@limite])</f>
        <v/>
      </c>
    </row>
    <row r="144">
      <c r="A144" t="inlineStr">
        <is>
          <t>optronics-shelter-01-temperature-0010</t>
        </is>
      </c>
      <c r="B144" t="inlineStr">
        <is>
          <t>base-projetee-alpha</t>
        </is>
      </c>
      <c r="C144" t="inlineStr">
        <is>
          <t>optronics-shelter-01</t>
        </is>
      </c>
      <c r="D144" t="inlineStr">
        <is>
          <t>optronics</t>
        </is>
      </c>
      <c r="E144" t="inlineStr">
        <is>
          <t>temperature</t>
        </is>
      </c>
      <c r="F144" s="2" t="n">
        <v>46337.75</v>
      </c>
      <c r="G144" t="n">
        <v>28.5</v>
      </c>
      <c r="H144" t="inlineStr">
        <is>
          <t>celsius</t>
        </is>
      </c>
      <c r="I144" t="n">
        <v>10</v>
      </c>
      <c r="J144" t="inlineStr">
        <is>
          <t>airbase/batch005/optronics-shelter-01/temperature/0010</t>
        </is>
      </c>
      <c r="K144">
        <f>[@asset_type]&amp;"|"&amp;[@sensor]</f>
        <v/>
      </c>
      <c r="L144">
        <f>XLOOKUP([@clé],Seuils[clé],Seuils[limite])</f>
        <v/>
      </c>
      <c r="M144">
        <f>XLOOKUP([@clé],Seuils[clé],Seuils[direction])</f>
        <v/>
      </c>
      <c r="N144">
        <f>IF([@direction]="&lt;=",[@value]&lt;=[@limite],[@value]&gt;=[@limite])</f>
        <v/>
      </c>
    </row>
    <row r="145">
      <c r="A145" t="inlineStr">
        <is>
          <t>optronics-shelter-01-temperature-0011</t>
        </is>
      </c>
      <c r="B145" t="inlineStr">
        <is>
          <t>base-projetee-alpha</t>
        </is>
      </c>
      <c r="C145" t="inlineStr">
        <is>
          <t>optronics-shelter-01</t>
        </is>
      </c>
      <c r="D145" t="inlineStr">
        <is>
          <t>optronics</t>
        </is>
      </c>
      <c r="E145" t="inlineStr">
        <is>
          <t>temperature</t>
        </is>
      </c>
      <c r="F145" s="2" t="n">
        <v>46337.95833333334</v>
      </c>
      <c r="G145" t="n">
        <v>28.1</v>
      </c>
      <c r="H145" t="inlineStr">
        <is>
          <t>celsius</t>
        </is>
      </c>
      <c r="I145" t="n">
        <v>11</v>
      </c>
      <c r="J145" t="inlineStr">
        <is>
          <t>airbase/batch005/optronics-shelter-01/temperature/0011</t>
        </is>
      </c>
      <c r="K145">
        <f>[@asset_type]&amp;"|"&amp;[@sensor]</f>
        <v/>
      </c>
      <c r="L145">
        <f>XLOOKUP([@clé],Seuils[clé],Seuils[limite])</f>
        <v/>
      </c>
      <c r="M145">
        <f>XLOOKUP([@clé],Seuils[clé],Seuils[direction])</f>
        <v/>
      </c>
      <c r="N145">
        <f>IF([@direction]="&lt;=",[@value]&lt;=[@limite],[@value]&gt;=[@limite])</f>
        <v/>
      </c>
    </row>
  </sheetData>
  <conditionalFormatting sqref="N2:N145">
    <cfRule type="cellIs" priority="1" operator="equal" dxfId="0">
      <formula>TRUE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55" customWidth="1" min="5" max="5"/>
    <col width="22" customWidth="1" min="6" max="6"/>
  </cols>
  <sheetData>
    <row r="1">
      <c r="A1" s="1" t="inlineStr">
        <is>
          <t>asset_type</t>
        </is>
      </c>
      <c r="B1" s="1" t="inlineStr">
        <is>
          <t>sensor</t>
        </is>
      </c>
      <c r="C1" s="1" t="inlineStr">
        <is>
          <t>direction</t>
        </is>
      </c>
      <c r="D1" s="1" t="inlineStr">
        <is>
          <t>limite</t>
        </is>
      </c>
      <c r="E1" s="1" t="inlineStr">
        <is>
          <t>note</t>
        </is>
      </c>
      <c r="F1" s="1" t="inlineStr">
        <is>
          <t>clé</t>
        </is>
      </c>
    </row>
    <row r="2">
      <c r="A2" t="inlineStr">
        <is>
          <t>drone_battery_storage</t>
        </is>
      </c>
      <c r="B2" t="inlineStr">
        <is>
          <t>temperature</t>
        </is>
      </c>
      <c r="C2" t="inlineStr">
        <is>
          <t>&gt;=</t>
        </is>
      </c>
      <c r="D2" t="n">
        <v>35</v>
      </c>
      <c r="E2" t="inlineStr">
        <is>
          <t>seuil pédagogique commun</t>
        </is>
      </c>
      <c r="F2">
        <f>[@asset_type]&amp;"|"&amp;[@sensor]</f>
        <v/>
      </c>
    </row>
    <row r="3">
      <c r="A3" t="inlineStr">
        <is>
          <t>communications</t>
        </is>
      </c>
      <c r="B3" t="inlineStr">
        <is>
          <t>temperature</t>
        </is>
      </c>
      <c r="C3" t="inlineStr">
        <is>
          <t>&gt;=</t>
        </is>
      </c>
      <c r="D3" t="n">
        <v>35</v>
      </c>
      <c r="E3" t="inlineStr">
        <is>
          <t>seuil pédagogique commun</t>
        </is>
      </c>
      <c r="F3">
        <f>[@asset_type]&amp;"|"&amp;[@sensor]</f>
        <v/>
      </c>
    </row>
    <row r="4">
      <c r="A4" t="inlineStr">
        <is>
          <t>tactical_it</t>
        </is>
      </c>
      <c r="B4" t="inlineStr">
        <is>
          <t>temperature</t>
        </is>
      </c>
      <c r="C4" t="inlineStr">
        <is>
          <t>&gt;=</t>
        </is>
      </c>
      <c r="D4" t="n">
        <v>35</v>
      </c>
      <c r="E4" t="inlineStr">
        <is>
          <t>seuil pédagogique commun</t>
        </is>
      </c>
      <c r="F4">
        <f>[@asset_type]&amp;"|"&amp;[@sensor]</f>
        <v/>
      </c>
    </row>
    <row r="5">
      <c r="A5" t="inlineStr">
        <is>
          <t>light_maintenance</t>
        </is>
      </c>
      <c r="B5" t="inlineStr">
        <is>
          <t>temperature</t>
        </is>
      </c>
      <c r="C5" t="inlineStr">
        <is>
          <t>&gt;=</t>
        </is>
      </c>
      <c r="D5" t="n">
        <v>35</v>
      </c>
      <c r="E5" t="inlineStr">
        <is>
          <t>seuil pédagogique commun</t>
        </is>
      </c>
      <c r="F5">
        <f>[@asset_type]&amp;"|"&amp;[@sensor]</f>
        <v/>
      </c>
    </row>
    <row r="6">
      <c r="A6" t="inlineStr">
        <is>
          <t>optronics</t>
        </is>
      </c>
      <c r="B6" t="inlineStr">
        <is>
          <t>temperature</t>
        </is>
      </c>
      <c r="C6" t="inlineStr">
        <is>
          <t>&gt;=</t>
        </is>
      </c>
      <c r="D6" t="n">
        <v>35</v>
      </c>
      <c r="E6" t="inlineStr">
        <is>
          <t>seuil pédagogique commun</t>
        </is>
      </c>
      <c r="F6">
        <f>[@asset_type]&amp;"|"&amp;[@sensor]</f>
        <v/>
      </c>
    </row>
    <row r="7">
      <c r="A7" t="inlineStr">
        <is>
          <t>fuel_storage</t>
        </is>
      </c>
      <c r="B7" t="inlineStr">
        <is>
          <t>temperature</t>
        </is>
      </c>
      <c r="C7" t="inlineStr">
        <is>
          <t>&gt;=</t>
        </is>
      </c>
      <c r="D7" t="n">
        <v>28</v>
      </c>
      <c r="E7" t="inlineStr">
        <is>
          <t>vapeurs inflammables : seuil réel plus bas (cf. séquence 5)</t>
        </is>
      </c>
      <c r="F7">
        <f>[@asset_type]&amp;"|"&amp;[@sensor]</f>
        <v/>
      </c>
    </row>
    <row r="8">
      <c r="A8" t="inlineStr">
        <is>
          <t>medical_post</t>
        </is>
      </c>
      <c r="B8" t="inlineStr">
        <is>
          <t>temperature</t>
        </is>
      </c>
      <c r="C8" t="inlineStr">
        <is>
          <t>&gt;=</t>
        </is>
      </c>
      <c r="D8" t="n">
        <v>30</v>
      </c>
      <c r="E8" t="inlineStr">
        <is>
          <t>conservation de matériel médical sensible à la chaleur</t>
        </is>
      </c>
      <c r="F8">
        <f>[@asset_type]&amp;"|"&amp;[@sensor]</f>
        <v/>
      </c>
    </row>
    <row r="9">
      <c r="A9" t="inlineStr">
        <is>
          <t>tactical_it</t>
        </is>
      </c>
      <c r="B9" t="inlineStr">
        <is>
          <t>humidity</t>
        </is>
      </c>
      <c r="C9" t="inlineStr">
        <is>
          <t>&gt;=</t>
        </is>
      </c>
      <c r="D9" t="n">
        <v>60</v>
      </c>
      <c r="E9" t="inlineStr">
        <is>
          <t>risque de condensation sur les équipements informatiques</t>
        </is>
      </c>
      <c r="F9">
        <f>[@asset_type]&amp;"|"&amp;[@sensor]</f>
        <v/>
      </c>
    </row>
    <row r="10">
      <c r="A10" t="inlineStr">
        <is>
          <t>optronics</t>
        </is>
      </c>
      <c r="B10" t="inlineStr">
        <is>
          <t>humidity</t>
        </is>
      </c>
      <c r="C10" t="inlineStr">
        <is>
          <t>&gt;=</t>
        </is>
      </c>
      <c r="D10" t="n">
        <v>55</v>
      </c>
      <c r="E10" t="inlineStr">
        <is>
          <t>risque de buée sur l'optique</t>
        </is>
      </c>
      <c r="F10">
        <f>[@asset_type]&amp;"|"&amp;[@sensor]</f>
        <v/>
      </c>
    </row>
    <row r="11">
      <c r="A11" t="inlineStr">
        <is>
          <t>medical_post</t>
        </is>
      </c>
      <c r="B11" t="inlineStr">
        <is>
          <t>humidity</t>
        </is>
      </c>
      <c r="C11" t="inlineStr">
        <is>
          <t>&gt;=</t>
        </is>
      </c>
      <c r="D11" t="n">
        <v>55</v>
      </c>
      <c r="E11" t="inlineStr">
        <is>
          <t>conservation de matériel médical sensible à l'humidité</t>
        </is>
      </c>
      <c r="F11">
        <f>[@asset_type]&amp;"|"&amp;[@sensor]</f>
        <v/>
      </c>
    </row>
    <row r="12">
      <c r="A12" t="inlineStr">
        <is>
          <t>drone_battery_storage</t>
        </is>
      </c>
      <c r="B12" t="inlineStr">
        <is>
          <t>battery_voltage</t>
        </is>
      </c>
      <c r="C12" t="inlineStr">
        <is>
          <t>&lt;=</t>
        </is>
      </c>
      <c r="D12" t="n">
        <v>11.5</v>
      </c>
      <c r="E12" t="inlineStr">
        <is>
          <t>tension basse : cellule dégradée par la chaleur</t>
        </is>
      </c>
      <c r="F12">
        <f>[@asset_type]&amp;"|"&amp;[@sensor]</f>
        <v/>
      </c>
    </row>
    <row r="13">
      <c r="A13" t="inlineStr">
        <is>
          <t>communications</t>
        </is>
      </c>
      <c r="B13" t="inlineStr">
        <is>
          <t>lora_rssi</t>
        </is>
      </c>
      <c r="C13" t="inlineStr">
        <is>
          <t>&lt;=</t>
        </is>
      </c>
      <c r="D13" t="n">
        <v>-90</v>
      </c>
      <c r="E13" t="inlineStr">
        <is>
          <t>signal LoRa trop faible pour une transmission fiable</t>
        </is>
      </c>
      <c r="F13">
        <f>[@asset_type]&amp;"|"&amp;[@sensor]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3" t="inlineStr">
        <is>
          <t>Indicateurs de référence (équivalents formule d'un TCD zone x capteur)</t>
        </is>
      </c>
    </row>
    <row r="3">
      <c r="A3" s="3" t="inlineStr">
        <is>
          <t>zone</t>
        </is>
      </c>
      <c r="B3" s="3" t="inlineStr">
        <is>
          <t>moyenne_temperature</t>
        </is>
      </c>
      <c r="C3" s="3" t="inlineStr">
        <is>
          <t>maximum_temperature</t>
        </is>
      </c>
    </row>
    <row r="4">
      <c r="A4" t="inlineStr">
        <is>
          <t>battery-shelter-01</t>
        </is>
      </c>
      <c r="B4">
        <f>AVERAGEIFS(Mesures[value],Mesures[zone],A4,Mesures[sensor],"temperature")</f>
        <v/>
      </c>
      <c r="C4">
        <f>MAXIFS(Mesures[value],Mesures[zone],A4,Mesures[sensor],"temperature")</f>
        <v/>
      </c>
    </row>
    <row r="5">
      <c r="A5" t="inlineStr">
        <is>
          <t>comms-shelter-01</t>
        </is>
      </c>
      <c r="B5">
        <f>AVERAGEIFS(Mesures[value],Mesures[zone],A5,Mesures[sensor],"temperature")</f>
        <v/>
      </c>
      <c r="C5">
        <f>MAXIFS(Mesures[value],Mesures[zone],A5,Mesures[sensor],"temperature")</f>
        <v/>
      </c>
    </row>
    <row r="6">
      <c r="A6" t="inlineStr">
        <is>
          <t>fuel-storage-01</t>
        </is>
      </c>
      <c r="B6">
        <f>AVERAGEIFS(Mesures[value],Mesures[zone],A6,Mesures[sensor],"temperature")</f>
        <v/>
      </c>
      <c r="C6">
        <f>MAXIFS(Mesures[value],Mesures[zone],A6,Mesures[sensor],"temperature")</f>
        <v/>
      </c>
    </row>
    <row r="7">
      <c r="A7" t="inlineStr">
        <is>
          <t>it-room-01</t>
        </is>
      </c>
      <c r="B7">
        <f>AVERAGEIFS(Mesures[value],Mesures[zone],A7,Mesures[sensor],"temperature")</f>
        <v/>
      </c>
      <c r="C7">
        <f>MAXIFS(Mesures[value],Mesures[zone],A7,Mesures[sensor],"temperature")</f>
        <v/>
      </c>
    </row>
    <row r="8">
      <c r="A8" t="inlineStr">
        <is>
          <t>maintenance-zone-01</t>
        </is>
      </c>
      <c r="B8">
        <f>AVERAGEIFS(Mesures[value],Mesures[zone],A8,Mesures[sensor],"temperature")</f>
        <v/>
      </c>
      <c r="C8">
        <f>MAXIFS(Mesures[value],Mesures[zone],A8,Mesures[sensor],"temperature")</f>
        <v/>
      </c>
    </row>
    <row r="9">
      <c r="A9" t="inlineStr">
        <is>
          <t>medical-post-01</t>
        </is>
      </c>
      <c r="B9">
        <f>AVERAGEIFS(Mesures[value],Mesures[zone],A9,Mesures[sensor],"temperature")</f>
        <v/>
      </c>
      <c r="C9">
        <f>MAXIFS(Mesures[value],Mesures[zone],A9,Mesures[sensor],"temperature")</f>
        <v/>
      </c>
    </row>
    <row r="10">
      <c r="A10" t="inlineStr">
        <is>
          <t>optronics-shelter-01</t>
        </is>
      </c>
      <c r="B10">
        <f>AVERAGEIFS(Mesures[value],Mesures[zone],A10,Mesures[sensor],"temperature")</f>
        <v/>
      </c>
      <c r="C10">
        <f>MAXIFS(Mesures[value],Mesures[zone],A10,Mesures[sensor],"temperature")</f>
        <v/>
      </c>
    </row>
    <row r="12">
      <c r="A12" s="3" t="inlineStr">
        <is>
          <t>Maximum de température par jour — battery-shelter-01</t>
        </is>
      </c>
    </row>
    <row r="13">
      <c r="A13" s="3" t="inlineStr">
        <is>
          <t>jour</t>
        </is>
      </c>
      <c r="B13" s="3" t="inlineStr">
        <is>
          <t>maximum_temperature</t>
        </is>
      </c>
    </row>
    <row r="14">
      <c r="A14" t="inlineStr">
        <is>
          <t>2026-11-09</t>
        </is>
      </c>
      <c r="B14">
        <f>MAXIFS(Mesures[value],Mesures[zone],"battery-shelter-01",Mesures[sensor],"temperature",Mesures[measured_at],"&gt;="&amp;DATE(2026,11,9),Mesures[measured_at],"&lt;"&amp;DATE(2026,11,10))</f>
        <v/>
      </c>
    </row>
    <row r="15">
      <c r="A15" t="inlineStr">
        <is>
          <t>2026-11-10</t>
        </is>
      </c>
      <c r="B15">
        <f>MAXIFS(Mesures[value],Mesures[zone],"battery-shelter-01",Mesures[sensor],"temperature",Mesures[measured_at],"&gt;="&amp;DATE(2026,11,10),Mesures[measured_at],"&lt;"&amp;DATE(2026,11,11))</f>
        <v/>
      </c>
    </row>
    <row r="16">
      <c r="A16" t="inlineStr">
        <is>
          <t>2026-11-11</t>
        </is>
      </c>
      <c r="B16">
        <f>MAXIFS(Mesures[value],Mesures[zone],"battery-shelter-01",Mesures[sensor],"temperature",Mesures[measured_at],"&gt;="&amp;DATE(2026,11,11),Mesures[measured_at],"&lt;"&amp;DATE(2026,11,12))</f>
        <v/>
      </c>
    </row>
    <row r="19">
      <c r="A19" s="3" t="inlineStr">
        <is>
          <t>Série pour le graphique — battery-shelter-01</t>
        </is>
      </c>
    </row>
    <row r="20">
      <c r="A20" s="3" t="inlineStr">
        <is>
          <t>heure</t>
        </is>
      </c>
      <c r="B20" s="3" t="inlineStr">
        <is>
          <t>température (°C)</t>
        </is>
      </c>
      <c r="C20" s="3" t="inlineStr">
        <is>
          <t>tension batterie (V)</t>
        </is>
      </c>
    </row>
    <row r="21">
      <c r="A21" t="inlineStr">
        <is>
          <t>J1 06h</t>
        </is>
      </c>
      <c r="B21">
        <f>Mesures!G14</f>
        <v/>
      </c>
      <c r="C21">
        <f>Mesures!G2</f>
        <v/>
      </c>
    </row>
    <row r="22">
      <c r="A22" t="inlineStr">
        <is>
          <t>J1 12h</t>
        </is>
      </c>
      <c r="B22">
        <f>Mesures!G15</f>
        <v/>
      </c>
      <c r="C22">
        <f>Mesures!G3</f>
        <v/>
      </c>
    </row>
    <row r="23">
      <c r="A23" t="inlineStr">
        <is>
          <t>J1 18h</t>
        </is>
      </c>
      <c r="B23">
        <f>Mesures!G16</f>
        <v/>
      </c>
      <c r="C23">
        <f>Mesures!G4</f>
        <v/>
      </c>
    </row>
    <row r="24">
      <c r="A24" t="inlineStr">
        <is>
          <t>J1 23h</t>
        </is>
      </c>
      <c r="B24">
        <f>Mesures!G17</f>
        <v/>
      </c>
      <c r="C24">
        <f>Mesures!G5</f>
        <v/>
      </c>
    </row>
    <row r="25">
      <c r="A25" t="inlineStr">
        <is>
          <t>J2 06h</t>
        </is>
      </c>
      <c r="B25">
        <f>Mesures!G18</f>
        <v/>
      </c>
      <c r="C25">
        <f>Mesures!G6</f>
        <v/>
      </c>
    </row>
    <row r="26">
      <c r="A26" t="inlineStr">
        <is>
          <t>J2 12h</t>
        </is>
      </c>
      <c r="B26">
        <f>Mesures!G19</f>
        <v/>
      </c>
      <c r="C26">
        <f>Mesures!G7</f>
        <v/>
      </c>
    </row>
    <row r="27">
      <c r="A27" t="inlineStr">
        <is>
          <t>J2 18h</t>
        </is>
      </c>
      <c r="B27">
        <f>Mesures!G20</f>
        <v/>
      </c>
      <c r="C27">
        <f>Mesures!G8</f>
        <v/>
      </c>
    </row>
    <row r="28">
      <c r="A28" t="inlineStr">
        <is>
          <t>J2 23h</t>
        </is>
      </c>
      <c r="B28">
        <f>Mesures!G21</f>
        <v/>
      </c>
      <c r="C28">
        <f>Mesures!G9</f>
        <v/>
      </c>
    </row>
    <row r="29">
      <c r="A29" t="inlineStr">
        <is>
          <t>J3 06h</t>
        </is>
      </c>
      <c r="B29">
        <f>Mesures!G22</f>
        <v/>
      </c>
      <c r="C29">
        <f>Mesures!G10</f>
        <v/>
      </c>
    </row>
    <row r="30">
      <c r="A30" t="inlineStr">
        <is>
          <t>J3 12h</t>
        </is>
      </c>
      <c r="B30">
        <f>Mesures!G23</f>
        <v/>
      </c>
      <c r="C30">
        <f>Mesures!G11</f>
        <v/>
      </c>
    </row>
    <row r="31">
      <c r="A31" t="inlineStr">
        <is>
          <t>J3 18h</t>
        </is>
      </c>
      <c r="B31">
        <f>Mesures!G24</f>
        <v/>
      </c>
      <c r="C31">
        <f>Mesures!G12</f>
        <v/>
      </c>
    </row>
    <row r="32">
      <c r="A32" t="inlineStr">
        <is>
          <t>J3 23h</t>
        </is>
      </c>
      <c r="B32">
        <f>Mesures!G25</f>
        <v/>
      </c>
      <c r="C32">
        <f>Mesures!G13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55" customWidth="1" min="1" max="1"/>
    <col width="90" customWidth="1" min="2" max="2"/>
  </cols>
  <sheetData>
    <row r="1">
      <c r="A1" s="1" t="inlineStr">
        <is>
          <t>Champ</t>
        </is>
      </c>
      <c r="B1" s="1" t="inlineStr">
        <is>
          <t>Réponse</t>
        </is>
      </c>
    </row>
    <row r="2">
      <c r="A2" t="inlineStr">
        <is>
          <t>Décision</t>
        </is>
      </c>
      <c r="B2" s="4" t="inlineStr">
        <is>
          <t>Vérifier en priorité battery-shelter-01 et fuel-storage-01.</t>
        </is>
      </c>
    </row>
    <row r="3">
      <c r="A3" t="inlineStr">
        <is>
          <t>Confiance (très faible / faible / moyenne / élevée)</t>
        </is>
      </c>
      <c r="B3" s="4" t="inlineStr">
        <is>
          <t>Moyenne sur ces deux zones ; faible pour toute conclusion basée sur un seuil unique appliqué à toute la base.</t>
        </is>
      </c>
    </row>
    <row r="4">
      <c r="A4" t="inlineStr">
        <is>
          <t>Preuve 1 (zone, capteur, valeur, date)</t>
        </is>
      </c>
      <c r="B4" s="4" t="inlineStr">
        <is>
          <t>battery-shelter-01, temperature, 35,6 °C, 2026-11-11 18:00 (seul le 3e jour franchit le seuil).</t>
        </is>
      </c>
    </row>
    <row r="5">
      <c r="A5" t="inlineStr">
        <is>
          <t>Preuve 2 (zone, capteur, valeur, date)</t>
        </is>
      </c>
      <c r="B5" s="4" t="inlineStr">
        <is>
          <t>fuel-storage-01, temperature, 28,4 à 30,0 °C sur les 12 mesures, toutes au-dessus du seuil réel de 28 °C.</t>
        </is>
      </c>
    </row>
    <row r="6">
      <c r="A6" t="inlineStr">
        <is>
          <t>Incertitude 1</t>
        </is>
      </c>
      <c r="B6" s="4" t="inlineStr">
        <is>
          <t>La dérive de tension de battery-shelter-01 pourrait se stabiliser ou s'accélérer au-delà du 3e jour.</t>
        </is>
      </c>
    </row>
    <row r="7">
      <c r="A7" t="inlineStr">
        <is>
          <t>Incertitude 2</t>
        </is>
      </c>
      <c r="B7" s="4" t="inlineStr">
        <is>
          <t>Le seuil réel de 28 °C pour fuel-storage-01 reste un choix pédagogique, pas une norme vérifiée sur le terrain.</t>
        </is>
      </c>
    </row>
    <row r="8">
      <c r="A8" t="inlineStr">
        <is>
          <t>Vérification prioritaire</t>
        </is>
      </c>
      <c r="B8" s="4" t="inlineStr">
        <is>
          <t>Inspection physique de la batterie de battery-shelter-01 ; contrôle du système de ventilation de fuel-storage-01.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2026-09-09T12:03:56Z</dcterms:created>
  <dcterms:modified xsi:type="dcterms:W3CDTF">2026-09-09T12:03:56Z</dcterms:modified>
</cp:coreProperties>
</file>